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33214\Desktop\web学习\"/>
    </mc:Choice>
  </mc:AlternateContent>
  <xr:revisionPtr revIDLastSave="0" documentId="13_ncr:1_{90B3E9B5-D14B-45EB-88A2-09E936ABF96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使用说明" sheetId="1" r:id="rId1"/>
    <sheet name="总览" sheetId="2" r:id="rId2"/>
    <sheet name="周计划" sheetId="3" r:id="rId3"/>
    <sheet name="资源库" sheetId="4" r:id="rId4"/>
    <sheet name="漏洞卡片" sheetId="5" r:id="rId5"/>
    <sheet name="进度统计" sheetId="6" r:id="rId6"/>
  </sheets>
  <definedNames>
    <definedName name="_xlnm._FilterDatabase" localSheetId="4" hidden="1">漏洞卡片!$A$1:$I$20</definedName>
    <definedName name="_xlnm._FilterDatabase" localSheetId="2" hidden="1">周计划!$A$1:$L$43</definedName>
    <definedName name="_xlnm._FilterDatabase" localSheetId="3" hidden="1">资源库!$A$1:$F$34</definedName>
  </definedNames>
  <calcPr calcId="181029"/>
</workbook>
</file>

<file path=xl/calcChain.xml><?xml version="1.0" encoding="utf-8"?>
<calcChain xmlns="http://schemas.openxmlformats.org/spreadsheetml/2006/main">
  <c r="G13" i="6" l="1"/>
  <c r="F13" i="6"/>
  <c r="C13" i="6"/>
  <c r="G12" i="6"/>
  <c r="F12" i="6"/>
  <c r="H12" i="6" s="1"/>
  <c r="C12" i="6"/>
  <c r="C14" i="6" s="1"/>
  <c r="G11" i="6"/>
  <c r="F11" i="6"/>
  <c r="C11" i="6"/>
  <c r="G10" i="6"/>
  <c r="F10" i="6"/>
  <c r="G9" i="6"/>
  <c r="F9" i="6"/>
  <c r="C9" i="6"/>
  <c r="G8" i="6"/>
  <c r="F8" i="6"/>
  <c r="H8" i="6" s="1"/>
  <c r="C8" i="6"/>
  <c r="G7" i="6"/>
  <c r="F7" i="6"/>
  <c r="C7" i="6"/>
  <c r="G6" i="6"/>
  <c r="F6" i="6"/>
  <c r="C6" i="6"/>
  <c r="G5" i="6"/>
  <c r="F5" i="6"/>
  <c r="F14" i="6" s="1"/>
  <c r="C5" i="6"/>
  <c r="C10" i="6" s="1"/>
  <c r="G14" i="6" l="1"/>
  <c r="H14" i="6" s="1"/>
  <c r="H11" i="6"/>
  <c r="H6" i="6"/>
  <c r="H7" i="6"/>
  <c r="H9" i="6"/>
  <c r="H10" i="6"/>
  <c r="H13" i="6"/>
  <c r="H5" i="6"/>
</calcChain>
</file>

<file path=xl/sharedStrings.xml><?xml version="1.0" encoding="utf-8"?>
<sst xmlns="http://schemas.openxmlformats.org/spreadsheetml/2006/main" count="770" uniqueCount="561">
  <si>
    <t>大一 Web 渗透测试 · 学习进度追踪表</t>
  </si>
  <si>
    <t>配套文档：01-学习路线图.md（详细讲解） · 03-靶场搭建指南.md（环境搭建）</t>
  </si>
  <si>
    <t>怎么用这张表</t>
  </si>
  <si>
    <t>1. 只维护「周计划」这一个工作表：每周日晚上把当周状态改成 已完成 / 进行中 / 延期，填上实际耗时。</t>
  </si>
  <si>
    <t>2. 「进度统计」会自动算出完成率和时间偏差，不需要手工算。</t>
  </si>
  <si>
    <t>3. 「漏洞卡片」是知识库骨架：每学完一个漏洞，把掌握程度从 未学 推进到 能讲清。</t>
  </si>
  <si>
    <t>4. 「资源库」按优先级排序，P0 是必须用的，P2 是后期再说。</t>
  </si>
  <si>
    <t>三条纪律</t>
  </si>
  <si>
    <t>① 考试周（W13-14 / W33-34）学习强度已主动降到 3h/周，不要加码——绩点补不回来。</t>
  </si>
  <si>
    <t>② 每周必须有产出。没有产出的一周，状态请如实标「延期」，不要自欺。</t>
  </si>
  <si>
    <t>③ 里程碑（总览页）没过，不要往下推。宁可 42 周走成 50 周。</t>
  </si>
  <si>
    <t>时间基准</t>
  </si>
  <si>
    <t>起点 2026-10-19（周一），共 42 周，终点 2027-08-08。</t>
  </si>
  <si>
    <t>每周计划时长 8-10 小时（含正课之外的自学时间），寒暑假 12-15 小时。</t>
  </si>
  <si>
    <t>全周期计划总投入约 400 小时。低于这个数，大一达不成目标画像。</t>
  </si>
  <si>
    <t>颜色含义</t>
  </si>
  <si>
    <t>绿色 = 已完成     黄色 = 进行中     红色 = 延期     无填充 = 未开始</t>
  </si>
  <si>
    <t>阶段</t>
  </si>
  <si>
    <t>周次</t>
  </si>
  <si>
    <t>时间范围</t>
  </si>
  <si>
    <t>主题</t>
  </si>
  <si>
    <t>里程碑 / 验收标准</t>
  </si>
  <si>
    <t>阶段 0</t>
  </si>
  <si>
    <t>W1–W2</t>
  </si>
  <si>
    <t>2026-10-19 ~ 11-01</t>
  </si>
  <si>
    <t>环境与习惯</t>
  </si>
  <si>
    <t>环境就绪；GitHub 有第一个仓库</t>
  </si>
  <si>
    <t>阶段 1</t>
  </si>
  <si>
    <t>W3–W8</t>
  </si>
  <si>
    <t>2026-11-02 ~ 12-13</t>
  </si>
  <si>
    <t>Linux + 计算机网络</t>
  </si>
  <si>
    <t>能用命令行 + curl 独立分析一次 HTTP 请求</t>
  </si>
  <si>
    <t>阶段 2a</t>
  </si>
  <si>
    <t>W9–W12</t>
  </si>
  <si>
    <t>2026-12-14 ~ 2027-01-10</t>
  </si>
  <si>
    <t>Web 前端 + 数据库</t>
  </si>
  <si>
    <t>手写登录页 + 独立写出 20 条 SQL</t>
  </si>
  <si>
    <t>期末</t>
  </si>
  <si>
    <t>W13–W14</t>
  </si>
  <si>
    <t>2027-01-11 ~ 01-24</t>
  </si>
  <si>
    <t>期末复习与考试（降强度）</t>
  </si>
  <si>
    <t>GPA 达标（硬指标）</t>
  </si>
  <si>
    <t>阶段 2b</t>
  </si>
  <si>
    <t>W15–W17</t>
  </si>
  <si>
    <t>2027-01-25 ~ 02-14</t>
  </si>
  <si>
    <t>寒假：Flask 后端 + OWASP 预习</t>
  </si>
  <si>
    <t>跑通完整小站；能说出十类漏洞</t>
  </si>
  <si>
    <t>缓冲</t>
  </si>
  <si>
    <t>W18</t>
  </si>
  <si>
    <t>2027-02-15 ~ 02-21</t>
  </si>
  <si>
    <t>开学缓冲：知识库整理</t>
  </si>
  <si>
    <t>任意旧笔记 30 秒内可检索</t>
  </si>
  <si>
    <t>阶段 3</t>
  </si>
  <si>
    <t>W19–W26</t>
  </si>
  <si>
    <t>2027-02-22 ~ 04-18</t>
  </si>
  <si>
    <t>Web 漏洞原理 + DVWA</t>
  </si>
  <si>
    <t>DVWA 全难度通关；会写渗透测试报告</t>
  </si>
  <si>
    <t>阶段 4</t>
  </si>
  <si>
    <t>W27–W32</t>
  </si>
  <si>
    <t>2027-04-19 ~ 05-30</t>
  </si>
  <si>
    <t>工具链 + 工程化 + CTF 入门</t>
  </si>
  <si>
    <t>Burp 熟练；2 个自研工具；作品集仓库</t>
  </si>
  <si>
    <t>W33–W34</t>
  </si>
  <si>
    <t>2027-05-31 ~ 06-13</t>
  </si>
  <si>
    <t>阶段 5</t>
  </si>
  <si>
    <t>W35–W42</t>
  </si>
  <si>
    <t>2027-06-14 ~ 08-08</t>
  </si>
  <si>
    <t>暑假综合实战</t>
  </si>
  <si>
    <t>完整实战经历 + 一份可展示的报告</t>
  </si>
  <si>
    <t>起始日</t>
  </si>
  <si>
    <t>结束日</t>
  </si>
  <si>
    <t>核心任务</t>
  </si>
  <si>
    <t>产出物</t>
  </si>
  <si>
    <t>验收标准</t>
  </si>
  <si>
    <t>计划h</t>
  </si>
  <si>
    <t>状态</t>
  </si>
  <si>
    <t>实际h</t>
  </si>
  <si>
    <t>备注</t>
  </si>
  <si>
    <t>W1</t>
  </si>
  <si>
    <t>0 环境</t>
  </si>
  <si>
    <t>环境搭建与命令行初体验</t>
  </si>
  <si>
    <t>装 Git/Docker Desktop/WSL Ubuntu + VS Code 插件；注册 GitHub；熟悉 pwd/ls/cd/cat/grep</t>
  </si>
  <si>
    <t>env-checklist.md + 第一个 GitHub 仓库</t>
  </si>
  <si>
    <t>docker/git 版本号有输出；WSL 里能不用鼠标找到任意文件</t>
  </si>
  <si>
    <t>未开始</t>
  </si>
  <si>
    <t>W2</t>
  </si>
  <si>
    <t>Bandit 1–15 + Git 基础</t>
  </si>
  <si>
    <t>OverTheWire Bandit 前 15 关；git init/add/commit/log/branch/push；Markdown 语法</t>
  </si>
  <si>
    <t>Bandit 1–15 writeup（命令+原因）+ 笔记仓库首次提交</t>
  </si>
  <si>
    <t>能独立用命令行读文件/看权限/解 base64</t>
  </si>
  <si>
    <t>W3</t>
  </si>
  <si>
    <t>1 基础</t>
  </si>
  <si>
    <t>Linux 文件系统与权限</t>
  </si>
  <si>
    <t>/etc /var/log /proc 的作用；用户与组；chmod 数字权限；软硬链接；环境变量</t>
  </si>
  <si>
    <t>一页「Linux 权限速查表」</t>
  </si>
  <si>
    <t>能解释 rwx 对目录和文件的语义区别；读懂 ls -l 每一列</t>
  </si>
  <si>
    <t>W4</t>
  </si>
  <si>
    <t>进程、服务与软件包</t>
  </si>
  <si>
    <t>ps/top/kill；systemctl 启停服务；apt 装包；管道与重定向；vim 基础</t>
  </si>
  <si>
    <t>WSL 里装 nginx 并能访问默认页</t>
  </si>
  <si>
    <t>能查日志、能定位端口被谁占用</t>
  </si>
  <si>
    <t>W5</t>
  </si>
  <si>
    <t>计算机网络（一）分层与 IP</t>
  </si>
  <si>
    <t>OSI/TCP-IP 分层；IP/子网掩码/网关；端口；DNS 递归与迭代解析</t>
  </si>
  <si>
    <t>手绘「输入 URL 到页面渲染」完整流程图</t>
  </si>
  <si>
    <t>能口述 DNS→TCP→TLS→HTTP 的先后顺序</t>
  </si>
  <si>
    <t>W6</t>
  </si>
  <si>
    <t>计算机网络（二）TCP 与 HTTP</t>
  </si>
  <si>
    <t>三次握手/四次挥手；HTTP 报文结构；状态码；Host/Referer/Origin/Cookie；Cookie vs Session</t>
  </si>
  <si>
    <t>curl 手工构造 20 个不同请求的记录</t>
  </si>
  <si>
    <t>能解释 302/401/403/404/500 在渗透场景中的含义</t>
  </si>
  <si>
    <t>W7</t>
  </si>
  <si>
    <t>HTTPS 与浏览器机制</t>
  </si>
  <si>
    <t>TLS 握手；对称/非对称加密分工；同源策略；CORS 预检；缓存字段；DevTools Network/Application</t>
  </si>
  <si>
    <t>3 个网站的请求链路分析笔记（只观察，不发攻击流量）</t>
  </si>
  <si>
    <t>能解释 HttpOnly/Secure/SameSite 的作用</t>
  </si>
  <si>
    <t>W8</t>
  </si>
  <si>
    <t>Python 编程基础</t>
  </si>
  <si>
    <t>变量/流程/函数/列表字典；文件读写；异常处理；requests 库入门</t>
  </si>
  <si>
    <t>5 个小脚本（文本处理/端口探测雏形/批量发请求）</t>
  </si>
  <si>
    <t>脚本报错能自己看 traceback 定位，不崩</t>
  </si>
  <si>
    <t>W9</t>
  </si>
  <si>
    <t>2a 前端</t>
  </si>
  <si>
    <t>HTML / CSS</t>
  </si>
  <si>
    <t>语义标签；表单（所有 input 类型、action/method、隐藏字段）；CSS 选择器；盒模型</t>
  </si>
  <si>
    <t>手写登录页 + 注册页</t>
  </si>
  <si>
    <t>能看懂任意网站的 DOM 结构与表单提交目标</t>
  </si>
  <si>
    <t>W10</t>
  </si>
  <si>
    <t>JavaScript 基础</t>
  </si>
  <si>
    <t>变量/函数/对象/数组；DOM 查询与修改；事件；fetch/Promise；localStorage</t>
  </si>
  <si>
    <t>用 fetch 调公开 API 的搜索框页面</t>
  </si>
  <si>
    <t>Console 里能读取/修改页面元素与 Cookie</t>
  </si>
  <si>
    <t>W11</t>
  </si>
  <si>
    <t>JS 进阶与同源细节</t>
  </si>
  <si>
    <t>事件循环；XHR vs fetch；三种浏览器存储；CSP 概念；document.cookie 的读写限制</t>
  </si>
  <si>
    <t>笔记《JS 在浏览器里能做什么、不能做什么》</t>
  </si>
  <si>
    <t>能解释为什么 A 站读不到 B 站的 Cookie</t>
  </si>
  <si>
    <t>W12</t>
  </si>
  <si>
    <t>数据库与 SQL</t>
  </si>
  <si>
    <t>关系模型；增删改查；WHERE/ORDER BY/LIMIT；JOIN；索引概念；SQLite 动手</t>
  </si>
  <si>
    <t>学生-课程-成绩三表 + 20 条查询语句</t>
  </si>
  <si>
    <t>不给答案能写出多表 JOIN</t>
  </si>
  <si>
    <t>W13</t>
  </si>
  <si>
    <t>期末复习周</t>
  </si>
  <si>
    <t>正课优先；每天 15 分钟看安全资讯；不学新内容</t>
  </si>
  <si>
    <t>复习笔记</t>
  </si>
  <si>
    <t>不挂科</t>
  </si>
  <si>
    <t>W14</t>
  </si>
  <si>
    <t>期末考试周</t>
  </si>
  <si>
    <t>只维持习惯，不学新东西</t>
  </si>
  <si>
    <t>把前 13 周笔记整理成目录结构</t>
  </si>
  <si>
    <t>GPA 达标</t>
  </si>
  <si>
    <t>W15</t>
  </si>
  <si>
    <t>2b 寒假</t>
  </si>
  <si>
    <t>Flask 后端入门</t>
  </si>
  <si>
    <t>路由；GET/POST 参数；Jinja2 模板渲染；表单处理</t>
  </si>
  <si>
    <t>能接收表单并回显的迷你站</t>
  </si>
  <si>
    <t>能说清 request.args 与 request.form 的区别</t>
  </si>
  <si>
    <t>W16</t>
  </si>
  <si>
    <t>Flask + 数据库 + Session</t>
  </si>
  <si>
    <t>SQLite 连接；注册/登录；session 机制；密码哈希（werkzeug）</t>
  </si>
  <si>
    <t>完整小站（注册-登录-留言-登出）</t>
  </si>
  <si>
    <t>全流程跑通，数据库能看到数据落地</t>
  </si>
  <si>
    <t>W17</t>
  </si>
  <si>
    <t>OWASP Top 10 通读</t>
  </si>
  <si>
    <t>通读 OWASP Top 10 (2021)；读《白帽子讲Web安全》前 4 章</t>
  </si>
  <si>
    <t>10 类漏洞各 100 字理解 + 开发视角踩坑点</t>
  </si>
  <si>
    <t>不查资料能说出十类名称</t>
  </si>
  <si>
    <t>开学缓冲：知识库定型</t>
  </si>
  <si>
    <t>知识库结构定型（Obsidian 或 Markdown 目录）；复习阶段 1–2 笔记</t>
  </si>
  <si>
    <t>知识库目录 + 索引页</t>
  </si>
  <si>
    <t>任意一条旧笔记 30 秒内可检索</t>
  </si>
  <si>
    <t>W19</t>
  </si>
  <si>
    <t>3 漏洞</t>
  </si>
  <si>
    <t>SQL 注入（一）原理与联合注入</t>
  </si>
  <si>
    <t>SQLi 成因；UNION 注入列数探测与回显位；DVWA SQL Injection Low/Medium</t>
  </si>
  <si>
    <t>SQLi 笔记 + 3 篇 DVWA writeup</t>
  </si>
  <si>
    <t>手工完成 Low，并逐字符解释 payload 作用</t>
  </si>
  <si>
    <t>W20</t>
  </si>
  <si>
    <t>SQL 注入（二）盲注与绕过</t>
  </si>
  <si>
    <t>布尔/时间盲注；注释符与大小写绕过；二次注入概念；PortSwigger SQLi Apprentice</t>
  </si>
  <si>
    <t>布尔盲注 Python 脚本（按字符猜解库名）</t>
  </si>
  <si>
    <t>盲注场景下脚本能跑出库名</t>
  </si>
  <si>
    <t>W21</t>
  </si>
  <si>
    <t>XSS（一）反射型与存储型</t>
  </si>
  <si>
    <t>三种 XSS 区别；上下文决定 payload；DVWA XSS Reflected/Stored</t>
  </si>
  <si>
    <t>XSS 笔记 + 自制的存储型 XSS 靶场</t>
  </si>
  <si>
    <t>不同上下文能构造正确 payload 并说明原因</t>
  </si>
  <si>
    <t>W22</t>
  </si>
  <si>
    <t>XSS（二）DOM 型与防御</t>
  </si>
  <si>
    <t>DOM XSS；浏览器解析顺序；CSP 基础；HttpOnly；输出编码与转义</t>
  </si>
  <si>
    <t>PortSwigger XSS Apprentice 全部 labs writeup</t>
  </si>
  <si>
    <t>能在源码里指出危险 sink（innerHTML/eval/document.write）</t>
  </si>
  <si>
    <t>W23</t>
  </si>
  <si>
    <t>文件上传与文件包含</t>
  </si>
  <si>
    <t>上传检测的五个层次及绕过思路；LFI/RFI；DVWA File Upload / File Inclusion</t>
  </si>
  <si>
    <t>5 种上传绕过的手工实验记录</t>
  </si>
  <si>
    <t>DVWA Medium 能传 webshell 并说清绕过了哪层检测</t>
  </si>
  <si>
    <t>W24</t>
  </si>
  <si>
    <t>命令注入与 SSRF</t>
  </si>
  <si>
    <t>命令分隔符；无回显时的外带思路；SSRF 成因与内网探测；DVWA Command Injection；PortSwigger SSRF Apprentice</t>
  </si>
  <si>
    <t>两篇 writeup</t>
  </si>
  <si>
    <t>能解释 SSRF 为什么能打内网服务</t>
  </si>
  <si>
    <t>W25</t>
  </si>
  <si>
    <t>越权、认证与逻辑漏洞</t>
  </si>
  <si>
    <t>水平/垂直越权 IDOR；越权测试用例设计；认证缺陷；JWT 基础；业务逻辑漏洞；PortSwigger Access Control/Authentication</t>
  </si>
  <si>
    <t>一份越权测试 checklist</t>
  </si>
  <si>
    <t>给一个多角色系统能设计出完整越权测试用例</t>
  </si>
  <si>
    <t>W26</t>
  </si>
  <si>
    <t>阶段复盘 + 黑盒挑战</t>
  </si>
  <si>
    <t>打 3 个自制靶场（不给源码，纯黑盒）；按标准模板写报告</t>
  </si>
  <si>
    <t>3 份完整渗透测试报告</t>
  </si>
  <si>
    <t>报告含 描述/复现/危害/修复/评级</t>
  </si>
  <si>
    <t>W27</t>
  </si>
  <si>
    <t>4 工程化</t>
  </si>
  <si>
    <t>Burp Suite 全流程</t>
  </si>
  <si>
    <t>Proxy 与 CA 证书；Repeater；Intruder 四种攻击类型；Decoder/Comparer；BApp 插件</t>
  </si>
  <si>
    <t>用 Burp 把 DVWA 所有漏洞再走一遍</t>
  </si>
  <si>
    <t>能抓到 HTTPS 流量并改包重放</t>
  </si>
  <si>
    <t>W28</t>
  </si>
  <si>
    <t>信息收集（合法范围）</t>
  </si>
  <si>
    <t>子域名/端口/指纹/目录；nmap/ffuf/httpx；搜索引擎语法；只在自有资产上练</t>
  </si>
  <si>
    <t>对本地靶场的完整信息收集报告</t>
  </si>
  <si>
    <t>能列出信息收集清单并解释每项用途</t>
  </si>
  <si>
    <t>W29</t>
  </si>
  <si>
    <t>代码审计入门</t>
  </si>
  <si>
    <t>危险函数清单；source→sink 数据流追踪；白盒读 DVWA 源码；读 3 个漏洞修复 commit</t>
  </si>
  <si>
    <t>3 篇漏洞 commit 分析笔记</t>
  </si>
  <si>
    <t>能在一段陌生代码里定位注入点</t>
  </si>
  <si>
    <t>W30</t>
  </si>
  <si>
    <t>Python 安全工具开发</t>
  </si>
  <si>
    <t>requests.Session 会话保持；多线程；目录扫描器 + 登录爆破器（仅本地靶场）</t>
  </si>
  <si>
    <t>2 个可运行工具（带 README）</t>
  </si>
  <si>
    <t>工具跑通本地靶场，且有速率控制</t>
  </si>
  <si>
    <t>W31</t>
  </si>
  <si>
    <t>CTF Web 入门</t>
  </si>
  <si>
    <t>CTF 题型概览；Web 题常见套路；打新生赛或 PicoCTF</t>
  </si>
  <si>
    <t>10 道 Web 题 writeup</t>
  </si>
  <si>
    <t>能独立解出简单 Web 题</t>
  </si>
  <si>
    <t>W32</t>
  </si>
  <si>
    <t>报告规范与作品集</t>
  </si>
  <si>
    <t>渗透测试报告行业规范；CVSS 基础；知识库整理；GitHub 作品集</t>
  </si>
  <si>
    <t>GitHub 作品集仓库（writeup+工具+笔记+报告）</t>
  </si>
  <si>
    <t>别人打开能看懂你做了什么</t>
  </si>
  <si>
    <t>W33</t>
  </si>
  <si>
    <t>正课优先；每天 15 分钟安全资讯</t>
  </si>
  <si>
    <t>W34</t>
  </si>
  <si>
    <t>只维持习惯</t>
  </si>
  <si>
    <t>整理大一下笔记</t>
  </si>
  <si>
    <t>W35</t>
  </si>
  <si>
    <t>5 实战</t>
  </si>
  <si>
    <t>综合靶场（一）</t>
  </si>
  <si>
    <t>TryHackMe Complete Beginner 路径，或 Juice Shop 关卡推进</t>
  </si>
  <si>
    <t>路径完成记录</t>
  </si>
  <si>
    <t>能独立完成引导式关卡</t>
  </si>
  <si>
    <t>W36</t>
  </si>
  <si>
    <t>综合靶场（二）</t>
  </si>
  <si>
    <t>Juice Shop 全关卡冲刺</t>
  </si>
  <si>
    <t>Juice Shop 完整 writeup</t>
  </si>
  <si>
    <t>完成大部分挑战并能写明原理</t>
  </si>
  <si>
    <t>W37</t>
  </si>
  <si>
    <t>HTB Starting Point</t>
  </si>
  <si>
    <t>Hack The Box Starting Point Tier 0–1</t>
  </si>
  <si>
    <t>Tier 0–1 writeup</t>
  </si>
  <si>
    <t>掌握真实感的打点流程</t>
  </si>
  <si>
    <t>W38</t>
  </si>
  <si>
    <t>漏洞复现</t>
  </si>
  <si>
    <t>Vulhub 选 5 个经典 CVE 复现（优先近年 Web 类）</t>
  </si>
  <si>
    <t>5 篇漏洞复现报告</t>
  </si>
  <si>
    <t>能说清每个漏洞的成因与利用链</t>
  </si>
  <si>
    <t>W39</t>
  </si>
  <si>
    <t>打一场 CTF</t>
  </si>
  <si>
    <t>线上赛或校内赛；赛后逐题复盘</t>
  </si>
  <si>
    <t>赛后复盘笔记</t>
  </si>
  <si>
    <t>至少解出 3 题</t>
  </si>
  <si>
    <t>W40</t>
  </si>
  <si>
    <t>选定深入方向</t>
  </si>
  <si>
    <t>代码审计/内网渗透/云安全/移动安全 四选一，做调研</t>
  </si>
  <si>
    <t>方向调研报告（学习路径 + 资源）</t>
  </si>
  <si>
    <t>能说清该方向要学什么</t>
  </si>
  <si>
    <t>W41</t>
  </si>
  <si>
    <t>项目产出</t>
  </si>
  <si>
    <t>写一个完整工具，或搭一套自己的靶场</t>
  </si>
  <si>
    <t>可运行项目 + README</t>
  </si>
  <si>
    <t>别人能按 README 跑起来</t>
  </si>
  <si>
    <t>W42</t>
  </si>
  <si>
    <t>复盘与大二规划</t>
  </si>
  <si>
    <t>总结 42 周；定大二目标（实习/实验室/竞赛队）</t>
  </si>
  <si>
    <t>复盘文档 + 大二计划</t>
  </si>
  <si>
    <t>目标可量化</t>
  </si>
  <si>
    <t>优先级</t>
  </si>
  <si>
    <t>类别</t>
  </si>
  <si>
    <t>名称</t>
  </si>
  <si>
    <t>链接</t>
  </si>
  <si>
    <t>用途 / 说明</t>
  </si>
  <si>
    <t>P0</t>
  </si>
  <si>
    <t>在线靶场</t>
  </si>
  <si>
    <t>PortSwigger Web Security Academy</t>
  </si>
  <si>
    <t>https://portswigger.net/web-security</t>
  </si>
  <si>
    <t>理论+实验一体，官方出品，W19 起主力</t>
  </si>
  <si>
    <t>OverTheWire Bandit</t>
  </si>
  <si>
    <t>https://overthewire.org/wargames/bandit/</t>
  </si>
  <si>
    <t>Linux 命令行入门，W1-W2 打通前 15 关</t>
  </si>
  <si>
    <t>本地靶场</t>
  </si>
  <si>
    <t>DVWA</t>
  </si>
  <si>
    <t>http://127.0.0.1:8081</t>
  </si>
  <si>
    <t>四档难度，W19-W26 主力靶场</t>
  </si>
  <si>
    <t>OWASP Juice Shop</t>
  </si>
  <si>
    <t>http://127.0.0.1:3000</t>
  </si>
  <si>
    <t>现代 SPA 靶场，60+ 挑战</t>
  </si>
  <si>
    <t>文档</t>
  </si>
  <si>
    <t>OWASP Top 10 (2021)</t>
  </si>
  <si>
    <t>https://owasp.org/Top10/</t>
  </si>
  <si>
    <t>必读，当词典查</t>
  </si>
  <si>
    <t>MDN Web Docs</t>
  </si>
  <si>
    <t>https://developer.mozilla.org/zh-CN/</t>
  </si>
  <si>
    <t>HTML/JS/HTTP 权威参考</t>
  </si>
  <si>
    <t>课程</t>
  </si>
  <si>
    <t>计算机网络（中国大学MOOC）</t>
  </si>
  <si>
    <t>https://www.icourse163.org</t>
  </si>
  <si>
    <t>与 W5-W7 同步，正课优先</t>
  </si>
  <si>
    <t>书</t>
  </si>
  <si>
    <t>《白帽子讲Web安全》吴翰清</t>
  </si>
  <si>
    <t>建立安全思维，W17 开始读</t>
  </si>
  <si>
    <t>P1</t>
  </si>
  <si>
    <t>OWASP WSTG 测试指南</t>
  </si>
  <si>
    <t>https://owasp.org/www-project-web-security-testing-guide/</t>
  </si>
  <si>
    <t>渗透测试流程标准参考</t>
  </si>
  <si>
    <t>PortSwigger HTTP 基础</t>
  </si>
  <si>
    <t>https://portswigger.net/web-security/http-fundamentals</t>
  </si>
  <si>
    <t>HTTP 讲得比多数教材清楚</t>
  </si>
  <si>
    <t>bWAPP</t>
  </si>
  <si>
    <t>http://127.0.0.1:8082</t>
  </si>
  <si>
    <t>100+ 漏洞，覆盖面最广</t>
  </si>
  <si>
    <t>WebGoat</t>
  </si>
  <si>
    <t>http://127.0.0.1:8083</t>
  </si>
  <si>
    <t>教程式 Java 靶场，每关带讲解</t>
  </si>
  <si>
    <t>工具</t>
  </si>
  <si>
    <t>Burp Suite Community</t>
  </si>
  <si>
    <t>https://portswigger.net/burp/communitydownload</t>
  </si>
  <si>
    <t>抓包改包主力工具</t>
  </si>
  <si>
    <t>Docker Desktop</t>
  </si>
  <si>
    <t>https://www.docker.com/products/docker-desktop/</t>
  </si>
  <si>
    <t>本地靶场运行环境</t>
  </si>
  <si>
    <t>Git</t>
  </si>
  <si>
    <t>https://git-scm.com/</t>
  </si>
  <si>
    <t>代码管理与作品集</t>
  </si>
  <si>
    <t>《Web安全深度剖析》张炳帅</t>
  </si>
  <si>
    <t>实战向，部分技术偏老但概念有效</t>
  </si>
  <si>
    <t>TryHackMe</t>
  </si>
  <si>
    <t>https://tryhackme.com</t>
  </si>
  <si>
    <t>引导式，零基础友好，W35 起</t>
  </si>
  <si>
    <t>CTF</t>
  </si>
  <si>
    <t>PicoCTF</t>
  </si>
  <si>
    <t>https://picoctf.org</t>
  </si>
  <si>
    <t>入门 CTF，W31 起刷题</t>
  </si>
  <si>
    <t>CTFHub</t>
  </si>
  <si>
    <t>https://www.ctfhub.com</t>
  </si>
  <si>
    <t>国内技能树，中文打基础</t>
  </si>
  <si>
    <t>P2</t>
  </si>
  <si>
    <t>Hack The Box</t>
  </si>
  <si>
    <t>https://www.hackthebox.com</t>
  </si>
  <si>
    <t>真实感强，W37 用 Starting Point</t>
  </si>
  <si>
    <t>CTFtime</t>
  </si>
  <si>
    <t>https://ctftime.org</t>
  </si>
  <si>
    <t>赛事日历，关注校内战队招新</t>
  </si>
  <si>
    <t>BUUCTF</t>
  </si>
  <si>
    <t>https://buuoj.cn</t>
  </si>
  <si>
    <t>国内题海，后期刷题</t>
  </si>
  <si>
    <t>攻防世界 XCTF</t>
  </si>
  <si>
    <t>https://adworld.xctf.org.cn</t>
  </si>
  <si>
    <t>国内赛事平台</t>
  </si>
  <si>
    <t>Vulhub</t>
  </si>
  <si>
    <t>https://github.com/vulhub/vulhub</t>
  </si>
  <si>
    <t>CVE 复现环境集合，W38 用</t>
  </si>
  <si>
    <t>OWASP ZAP</t>
  </si>
  <si>
    <t>https://www.zaproxy.org/</t>
  </si>
  <si>
    <t>Burp 的免费替代</t>
  </si>
  <si>
    <t>sqlmap</t>
  </si>
  <si>
    <t>https://github.com/sqlmapproject/sqlmap</t>
  </si>
  <si>
    <t>只用来验证自己的手工 payload</t>
  </si>
  <si>
    <t>ffuf</t>
  </si>
  <si>
    <t>https://github.com/ffuf/ffuf</t>
  </si>
  <si>
    <t>目录/参数爆破，仅本地靶场</t>
  </si>
  <si>
    <t>nmap</t>
  </si>
  <si>
    <t>https://nmap.org/</t>
  </si>
  <si>
    <t>端口与服务识别，仅自有资产</t>
  </si>
  <si>
    <t>Wireshark</t>
  </si>
  <si>
    <t>https://www.wireshark.org/</t>
  </si>
  <si>
    <t>流量分析，配合 W6-W7 学 HTTP</t>
  </si>
  <si>
    <t>操作系统（哈工大 李治军）</t>
  </si>
  <si>
    <t>大二前看完</t>
  </si>
  <si>
    <t>资讯</t>
  </si>
  <si>
    <t>FreeBuf</t>
  </si>
  <si>
    <t>https://www.freebuf.com/</t>
  </si>
  <si>
    <t>中文安全资讯</t>
  </si>
  <si>
    <t>安全客</t>
  </si>
  <si>
    <t>https://www.anquanke.com/</t>
  </si>
  <si>
    <t>技术文章质量较高</t>
  </si>
  <si>
    <t>The Hacker News</t>
  </si>
  <si>
    <t>https://thehackernews.com/</t>
  </si>
  <si>
    <t>英文资讯，练阅读</t>
  </si>
  <si>
    <t>#</t>
  </si>
  <si>
    <t>漏洞</t>
  </si>
  <si>
    <t>英文</t>
  </si>
  <si>
    <t>一句话原理</t>
  </si>
  <si>
    <t>常见触发点</t>
  </si>
  <si>
    <t>利用关键</t>
  </si>
  <si>
    <t>防御要点</t>
  </si>
  <si>
    <t>练习靶场</t>
  </si>
  <si>
    <t>掌握程度</t>
  </si>
  <si>
    <t>SQL 注入</t>
  </si>
  <si>
    <t>SQL Injection</t>
  </si>
  <si>
    <t>用户输入被拼进 SQL 语句并当作代码执行</t>
  </si>
  <si>
    <t>登录框、搜索、排序字段、URL 参数</t>
  </si>
  <si>
    <t>闭合原语句 + 注释掉剩余部分</t>
  </si>
  <si>
    <t>参数化查询/预编译；最小权限；输入校验</t>
  </si>
  <si>
    <t>DVWA SQL Injection</t>
  </si>
  <si>
    <t>未学</t>
  </si>
  <si>
    <t>反射型 XSS</t>
  </si>
  <si>
    <t>Reflected XSS</t>
  </si>
  <si>
    <t>输入原样回显在响应里，被浏览器当脚本执行</t>
  </si>
  <si>
    <t>搜索结果页、错误提示、跳转参数</t>
  </si>
  <si>
    <t>判断输出上下文，构造对应闭合</t>
  </si>
  <si>
    <t>输出编码；CSP；HttpOnly</t>
  </si>
  <si>
    <t>DVWA XSS Reflected</t>
  </si>
  <si>
    <t>存储型 XSS</t>
  </si>
  <si>
    <t>Stored XSS</t>
  </si>
  <si>
    <t>恶意内容存进数据库，其他用户访问时执行</t>
  </si>
  <si>
    <t>留言板、昵称、评论、工单</t>
  </si>
  <si>
    <t>持久化后触发，影响所有访问者</t>
  </si>
  <si>
    <t>输入过滤 + 输出编码；富文本白名单</t>
  </si>
  <si>
    <t>DVWA XSS Stored</t>
  </si>
  <si>
    <t>DOM 型 XSS</t>
  </si>
  <si>
    <t>DOM-based XSS</t>
  </si>
  <si>
    <t>前端 JS 直接把不可信数据写入危险 sink</t>
  </si>
  <si>
    <t>location.hash、innerHTML、eval</t>
  </si>
  <si>
    <t>不需要服务端回显，纯前端触发</t>
  </si>
  <si>
    <t>避免危险 sink；使用 textContent</t>
  </si>
  <si>
    <t>PortSwigger DOM XSS labs</t>
  </si>
  <si>
    <t>CSRF</t>
  </si>
  <si>
    <t>Cross-Site Request Forgery</t>
  </si>
  <si>
    <t>诱导已登录用户在其身份下发起非预期请求</t>
  </si>
  <si>
    <t>改密码、转账、绑定邮箱</t>
  </si>
  <si>
    <t>构造自动提交表单；利用 Cookie 自动携带</t>
  </si>
  <si>
    <t>CSRF Token；SameSite；校验 Origin</t>
  </si>
  <si>
    <t>DVWA CSRF</t>
  </si>
  <si>
    <t>SSRF</t>
  </si>
  <si>
    <t>Server-Side Request Forgery</t>
  </si>
  <si>
    <t>服务端被诱导去请求攻击者指定的地址</t>
  </si>
  <si>
    <t>图片加载、URL 预览、Webhook、代理</t>
  </si>
  <si>
    <t>打内网服务、读云元数据、协议走私</t>
  </si>
  <si>
    <t>URL 白名单；禁内网段；禁跳转跟随</t>
  </si>
  <si>
    <t>PortSwigger SSRF labs</t>
  </si>
  <si>
    <t>XXE</t>
  </si>
  <si>
    <t>XML External Entity</t>
  </si>
  <si>
    <t>XML 解析器加载外部实体导致文件读取/SSRF</t>
  </si>
  <si>
    <t>文件上传解析、SOAP 接口、SVG</t>
  </si>
  <si>
    <t>构造 DOCTYPE 引用外部实体</t>
  </si>
  <si>
    <t>禁用外部实体；用 JSON 替代 XML</t>
  </si>
  <si>
    <t>PortSwigger XXE labs</t>
  </si>
  <si>
    <t>命令注入</t>
  </si>
  <si>
    <t>OS Command Injection</t>
  </si>
  <si>
    <t>用户输入拼接进系统命令被执行</t>
  </si>
  <si>
    <t>ping 检测、图片处理、备份功能</t>
  </si>
  <si>
    <t>分隔符 ; | &amp;&amp; ；无回显时外带</t>
  </si>
  <si>
    <t>避免调用 shell；参数白名单；最小权限</t>
  </si>
  <si>
    <t>DVWA Command Injection</t>
  </si>
  <si>
    <t>文件上传</t>
  </si>
  <si>
    <t>Unrestricted File Upload</t>
  </si>
  <si>
    <t>上传校验不足导致可执行文件落地</t>
  </si>
  <si>
    <t>头像、附件、导入功能</t>
  </si>
  <si>
    <t>前端校验/Content-Type/后缀/文件头逐层绕过</t>
  </si>
  <si>
    <t>白名单后缀；重命名；存非 Web 目录；禁用执行</t>
  </si>
  <si>
    <t>DVWA File Upload</t>
  </si>
  <si>
    <t>文件包含</t>
  </si>
  <si>
    <t>Local/Remote File Inclusion</t>
  </si>
  <si>
    <t>include 类函数包含用户可控路径</t>
  </si>
  <si>
    <t>模板加载、语言包、页面路由</t>
  </si>
  <si>
    <t>路径穿越读文件；结合日志/伪协议 getshell</t>
  </si>
  <si>
    <t>固定包含列表；禁用远程包含；open_basedir</t>
  </si>
  <si>
    <t>DVWA File Inclusion</t>
  </si>
  <si>
    <t>目录穿越</t>
  </si>
  <si>
    <t>Path Traversal</t>
  </si>
  <si>
    <t>../ 跳出限定目录读取任意文件</t>
  </si>
  <si>
    <t>下载接口、图片读取、日志查看</t>
  </si>
  <si>
    <t>编码绕过（%2e%2e/、..%2f、双重编码）</t>
  </si>
  <si>
    <t>路径规范化后校验；白名单；chroot</t>
  </si>
  <si>
    <t>PortSwigger File Path Traversal</t>
  </si>
  <si>
    <t>越权 / IDOR</t>
  </si>
  <si>
    <t>Broken Access Control / IDOR</t>
  </si>
  <si>
    <t>服务端不校验资源归属，改 ID 即可访问他人数据</t>
  </si>
  <si>
    <t>订单详情、用户资料、API 接口</t>
  </si>
  <si>
    <t>遍历 ID；改 role 字段；抓包替换 token</t>
  </si>
  <si>
    <t>服务端逐次鉴权；资源归属校验；UUID</t>
  </si>
  <si>
    <t>PortSwigger Access Control</t>
  </si>
  <si>
    <t>认证缺陷</t>
  </si>
  <si>
    <t>Authentication Failures</t>
  </si>
  <si>
    <t>登录/会话机制设计不当导致可绕过</t>
  </si>
  <si>
    <t>登录、找回密码、验证码、记住我</t>
  </si>
  <si>
    <t>弱口令爆破；会话固定；验证码复用</t>
  </si>
  <si>
    <t>强密码策略；限速；会话轮换；MFA</t>
  </si>
  <si>
    <t>PortSwigger Authentication</t>
  </si>
  <si>
    <t>JWT 缺陷</t>
  </si>
  <si>
    <t>JWT Vulnerabilities</t>
  </si>
  <si>
    <t>JWT 签名/校验实现不当导致伪造</t>
  </si>
  <si>
    <t>API 鉴权头 Authorization</t>
  </si>
  <si>
    <t>none 算法；弱密钥爆破；kid 注入</t>
  </si>
  <si>
    <t>固定算法；强密钥；校验 claims</t>
  </si>
  <si>
    <t>PortSwigger JWT labs</t>
  </si>
  <si>
    <t>业务逻辑漏洞</t>
  </si>
  <si>
    <t>Business Logic Flaws</t>
  </si>
  <si>
    <t>流程设计缺陷，非技术性绕过</t>
  </si>
  <si>
    <t>优惠券、支付金额、库存、退款</t>
  </si>
  <si>
    <t>改价格参数；负数；并发重放</t>
  </si>
  <si>
    <t>全流程服务端校验；金额不可信前端</t>
  </si>
  <si>
    <t>PortSwigger Business Logic</t>
  </si>
  <si>
    <t>反序列化</t>
  </si>
  <si>
    <t>Insecure Deserialization</t>
  </si>
  <si>
    <t>不可信数据被反序列化触发魔术方法链</t>
  </si>
  <si>
    <t>Cookie/Session、RPC、缓存</t>
  </si>
  <si>
    <t>构造 gadget 链；PHP POP 链</t>
  </si>
  <si>
    <t>不反序列化不可信数据；签名校验</t>
  </si>
  <si>
    <t>PortSwigger Deserialization</t>
  </si>
  <si>
    <t>SSTI</t>
  </si>
  <si>
    <t>Server-Side Template Injection</t>
  </si>
  <si>
    <t>用户输入进入模板引擎被当作表达式执行</t>
  </si>
  <si>
    <t>邮件模板、自定义页面、错误页</t>
  </si>
  <si>
    <t>探测 {{7*7}}；按引擎构造 RCE 链</t>
  </si>
  <si>
    <t>不拼接模板；沙箱；白名单变量</t>
  </si>
  <si>
    <t>PortSwigger SSTI labs</t>
  </si>
  <si>
    <t>开放重定向</t>
  </si>
  <si>
    <t>Open Redirect</t>
  </si>
  <si>
    <t>跳转参数未校验，可跳往任意域名</t>
  </si>
  <si>
    <t>登录后跳转、分享链接</t>
  </si>
  <si>
    <t>配合 OAuth 窃取 token；钓鱼</t>
  </si>
  <si>
    <t>跳转白名单；相对路径</t>
  </si>
  <si>
    <t>PortSwigger Open Redirect</t>
  </si>
  <si>
    <t>CORS 配置错误</t>
  </si>
  <si>
    <t>CORS Misconfiguration</t>
  </si>
  <si>
    <t>ACAO 反射任意 Origin + 允许携带凭证</t>
  </si>
  <si>
    <t>跨域 API 接口</t>
  </si>
  <si>
    <t>构造恶意页面读取受害者数据</t>
  </si>
  <si>
    <t>固定可信 Origin 白名单；不反射</t>
  </si>
  <si>
    <t>PortSwigger CORS labs</t>
  </si>
  <si>
    <t>总体进度</t>
  </si>
  <si>
    <t>各阶段完成情况</t>
  </si>
  <si>
    <t>指标</t>
  </si>
  <si>
    <t>数值</t>
  </si>
  <si>
    <t>总周数</t>
  </si>
  <si>
    <t>已完成</t>
  </si>
  <si>
    <t>完成率</t>
  </si>
  <si>
    <t>进行中</t>
  </si>
  <si>
    <t>延期</t>
  </si>
  <si>
    <t>计划总时长(h)</t>
  </si>
  <si>
    <t>已完成计划时长(h)</t>
  </si>
  <si>
    <t>实际总时长(h)</t>
  </si>
  <si>
    <t>时间偏差(h)</t>
  </si>
  <si>
    <t>合计</t>
  </si>
  <si>
    <t>提示：只改「周计划」里的状态和实际耗时，这里全部自动计算。</t>
  </si>
  <si>
    <t>已完成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</si>
</sst>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9">
    <font>
      <sz val="11"/>
      <color theme="1"/>
      <name val="宋体"/>
      <family val="2"/>
      <scheme val="minor"/>
    </font>
    <font>
      <b/>
      <sz val="16"/>
      <color rgb="FF1F3864"/>
      <name val="微软雅黑"/>
      <family val="2"/>
      <charset val="134"/>
    </font>
    <font>
      <i/>
      <sz val="9"/>
      <color rgb="FF808080"/>
      <name val="微软雅黑"/>
      <family val="2"/>
      <charset val="134"/>
    </font>
    <font>
      <b/>
      <sz val="11"/>
      <color rgb="FF2E5C8A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u/>
      <sz val="9"/>
      <color rgb="FF0563C1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AFBFD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/>
    <xf numFmtId="1" fontId="7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4">
    <dxf>
      <fill>
        <patternFill patternType="solid">
          <fgColor rgb="FFFCE4D6"/>
        </patternFill>
      </fill>
    </dxf>
    <dxf>
      <font>
        <b/>
        <sz val="10"/>
        <color rgb="FF9C0006"/>
        <name val="微软雅黑"/>
      </font>
      <fill>
        <patternFill patternType="solid">
          <fgColor rgb="FFFFC7CE"/>
        </patternFill>
      </fill>
    </dxf>
    <dxf>
      <font>
        <b/>
        <sz val="10"/>
        <color rgb="FF9C6500"/>
        <name val="微软雅黑"/>
      </font>
      <fill>
        <patternFill patternType="solid">
          <fgColor rgb="FFFFEB9C"/>
        </patternFill>
      </fill>
    </dxf>
    <dxf>
      <font>
        <b/>
        <sz val="10"/>
        <color rgb="FF006100"/>
        <name val="微软雅黑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owasp.org/www-project-web-security-testing-guide/" TargetMode="External"/><Relationship Id="rId13" Type="http://schemas.openxmlformats.org/officeDocument/2006/relationships/hyperlink" Target="https://www.docker.com/products/docker-desktop/" TargetMode="External"/><Relationship Id="rId18" Type="http://schemas.openxmlformats.org/officeDocument/2006/relationships/hyperlink" Target="https://www.hackthebox.com/" TargetMode="External"/><Relationship Id="rId26" Type="http://schemas.openxmlformats.org/officeDocument/2006/relationships/hyperlink" Target="https://nmap.org/" TargetMode="External"/><Relationship Id="rId3" Type="http://schemas.openxmlformats.org/officeDocument/2006/relationships/hyperlink" Target="http://127.0.0.1:8081/" TargetMode="External"/><Relationship Id="rId21" Type="http://schemas.openxmlformats.org/officeDocument/2006/relationships/hyperlink" Target="https://adworld.xctf.org.cn/" TargetMode="External"/><Relationship Id="rId7" Type="http://schemas.openxmlformats.org/officeDocument/2006/relationships/hyperlink" Target="https://www.icourse163.org/" TargetMode="External"/><Relationship Id="rId12" Type="http://schemas.openxmlformats.org/officeDocument/2006/relationships/hyperlink" Target="https://portswigger.net/burp/communitydownload" TargetMode="External"/><Relationship Id="rId17" Type="http://schemas.openxmlformats.org/officeDocument/2006/relationships/hyperlink" Target="https://www.ctfhub.com/" TargetMode="External"/><Relationship Id="rId25" Type="http://schemas.openxmlformats.org/officeDocument/2006/relationships/hyperlink" Target="https://github.com/ffuf/ffuf" TargetMode="External"/><Relationship Id="rId2" Type="http://schemas.openxmlformats.org/officeDocument/2006/relationships/hyperlink" Target="https://overthewire.org/wargames/bandit/" TargetMode="External"/><Relationship Id="rId16" Type="http://schemas.openxmlformats.org/officeDocument/2006/relationships/hyperlink" Target="https://picoctf.org/" TargetMode="External"/><Relationship Id="rId20" Type="http://schemas.openxmlformats.org/officeDocument/2006/relationships/hyperlink" Target="https://buuoj.cn/" TargetMode="External"/><Relationship Id="rId29" Type="http://schemas.openxmlformats.org/officeDocument/2006/relationships/hyperlink" Target="https://www.freebuf.com/" TargetMode="External"/><Relationship Id="rId1" Type="http://schemas.openxmlformats.org/officeDocument/2006/relationships/hyperlink" Target="https://portswigger.net/web-security" TargetMode="External"/><Relationship Id="rId6" Type="http://schemas.openxmlformats.org/officeDocument/2006/relationships/hyperlink" Target="https://developer.mozilla.org/zh-CN/" TargetMode="External"/><Relationship Id="rId11" Type="http://schemas.openxmlformats.org/officeDocument/2006/relationships/hyperlink" Target="http://127.0.0.1:8083/" TargetMode="External"/><Relationship Id="rId24" Type="http://schemas.openxmlformats.org/officeDocument/2006/relationships/hyperlink" Target="https://github.com/sqlmapproject/sqlmap" TargetMode="External"/><Relationship Id="rId5" Type="http://schemas.openxmlformats.org/officeDocument/2006/relationships/hyperlink" Target="https://owasp.org/Top10/" TargetMode="External"/><Relationship Id="rId15" Type="http://schemas.openxmlformats.org/officeDocument/2006/relationships/hyperlink" Target="https://tryhackme.com/" TargetMode="External"/><Relationship Id="rId23" Type="http://schemas.openxmlformats.org/officeDocument/2006/relationships/hyperlink" Target="https://www.zaproxy.org/" TargetMode="External"/><Relationship Id="rId28" Type="http://schemas.openxmlformats.org/officeDocument/2006/relationships/hyperlink" Target="https://www.icourse163.org/" TargetMode="External"/><Relationship Id="rId10" Type="http://schemas.openxmlformats.org/officeDocument/2006/relationships/hyperlink" Target="http://127.0.0.1:8082/" TargetMode="External"/><Relationship Id="rId19" Type="http://schemas.openxmlformats.org/officeDocument/2006/relationships/hyperlink" Target="https://ctftime.org/" TargetMode="External"/><Relationship Id="rId31" Type="http://schemas.openxmlformats.org/officeDocument/2006/relationships/hyperlink" Target="https://thehackernews.com/" TargetMode="External"/><Relationship Id="rId4" Type="http://schemas.openxmlformats.org/officeDocument/2006/relationships/hyperlink" Target="http://127.0.0.1:3000/" TargetMode="External"/><Relationship Id="rId9" Type="http://schemas.openxmlformats.org/officeDocument/2006/relationships/hyperlink" Target="https://portswigger.net/web-security/http-fundamentals" TargetMode="External"/><Relationship Id="rId14" Type="http://schemas.openxmlformats.org/officeDocument/2006/relationships/hyperlink" Target="https://git-scm.com/" TargetMode="External"/><Relationship Id="rId22" Type="http://schemas.openxmlformats.org/officeDocument/2006/relationships/hyperlink" Target="https://github.com/vulhub/vulhub" TargetMode="External"/><Relationship Id="rId27" Type="http://schemas.openxmlformats.org/officeDocument/2006/relationships/hyperlink" Target="https://www.wireshark.org/" TargetMode="External"/><Relationship Id="rId30" Type="http://schemas.openxmlformats.org/officeDocument/2006/relationships/hyperlink" Target="https://www.anquank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2"/>
  <sheetViews>
    <sheetView showGridLines="0" workbookViewId="0"/>
  </sheetViews>
  <sheetFormatPr defaultRowHeight="14.4"/>
  <cols>
    <col min="1" max="1" width="4" customWidth="1"/>
    <col min="2" max="2" width="96" customWidth="1"/>
  </cols>
  <sheetData>
    <row r="2" spans="2:2" ht="30" customHeight="1">
      <c r="B2" s="1" t="s">
        <v>0</v>
      </c>
    </row>
    <row r="3" spans="2:2" ht="15">
      <c r="B3" s="2" t="s">
        <v>1</v>
      </c>
    </row>
    <row r="5" spans="2:2" ht="22.05" customHeight="1">
      <c r="B5" s="3" t="s">
        <v>2</v>
      </c>
    </row>
    <row r="6" spans="2:2" ht="19.95" customHeight="1">
      <c r="B6" s="4" t="s">
        <v>3</v>
      </c>
    </row>
    <row r="7" spans="2:2" ht="19.95" customHeight="1">
      <c r="B7" s="4" t="s">
        <v>4</v>
      </c>
    </row>
    <row r="8" spans="2:2" ht="19.95" customHeight="1">
      <c r="B8" s="4" t="s">
        <v>5</v>
      </c>
    </row>
    <row r="9" spans="2:2" ht="19.95" customHeight="1">
      <c r="B9" s="4" t="s">
        <v>6</v>
      </c>
    </row>
    <row r="11" spans="2:2" ht="22.05" customHeight="1">
      <c r="B11" s="3" t="s">
        <v>7</v>
      </c>
    </row>
    <row r="12" spans="2:2" ht="19.95" customHeight="1">
      <c r="B12" s="4" t="s">
        <v>8</v>
      </c>
    </row>
    <row r="13" spans="2:2" ht="19.95" customHeight="1">
      <c r="B13" s="4" t="s">
        <v>9</v>
      </c>
    </row>
    <row r="14" spans="2:2" ht="19.95" customHeight="1">
      <c r="B14" s="4" t="s">
        <v>10</v>
      </c>
    </row>
    <row r="16" spans="2:2" ht="22.05" customHeight="1">
      <c r="B16" s="3" t="s">
        <v>11</v>
      </c>
    </row>
    <row r="17" spans="2:2" ht="19.95" customHeight="1">
      <c r="B17" s="4" t="s">
        <v>12</v>
      </c>
    </row>
    <row r="18" spans="2:2" ht="19.95" customHeight="1">
      <c r="B18" s="4" t="s">
        <v>13</v>
      </c>
    </row>
    <row r="19" spans="2:2" ht="19.95" customHeight="1">
      <c r="B19" s="4" t="s">
        <v>14</v>
      </c>
    </row>
    <row r="21" spans="2:2" ht="22.05" customHeight="1">
      <c r="B21" s="3" t="s">
        <v>15</v>
      </c>
    </row>
    <row r="22" spans="2:2" ht="19.95" customHeight="1">
      <c r="B22" s="4" t="s">
        <v>16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2" width="10" customWidth="1"/>
    <col min="3" max="3" width="24" customWidth="1"/>
    <col min="4" max="4" width="34" customWidth="1"/>
    <col min="5" max="5" width="46" customWidth="1"/>
  </cols>
  <sheetData>
    <row r="1" spans="1:5" ht="30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spans="1:5" ht="34.049999999999997" customHeight="1">
      <c r="A2" s="6" t="s">
        <v>22</v>
      </c>
      <c r="B2" s="6" t="s">
        <v>23</v>
      </c>
      <c r="C2" s="6" t="s">
        <v>24</v>
      </c>
      <c r="D2" s="7" t="s">
        <v>25</v>
      </c>
      <c r="E2" s="7" t="s">
        <v>26</v>
      </c>
    </row>
    <row r="3" spans="1:5" ht="34.049999999999997" customHeight="1">
      <c r="A3" s="8" t="s">
        <v>27</v>
      </c>
      <c r="B3" s="8" t="s">
        <v>28</v>
      </c>
      <c r="C3" s="8" t="s">
        <v>29</v>
      </c>
      <c r="D3" s="9" t="s">
        <v>30</v>
      </c>
      <c r="E3" s="9" t="s">
        <v>31</v>
      </c>
    </row>
    <row r="4" spans="1:5" ht="34.049999999999997" customHeight="1">
      <c r="A4" s="6" t="s">
        <v>32</v>
      </c>
      <c r="B4" s="6" t="s">
        <v>33</v>
      </c>
      <c r="C4" s="6" t="s">
        <v>34</v>
      </c>
      <c r="D4" s="7" t="s">
        <v>35</v>
      </c>
      <c r="E4" s="7" t="s">
        <v>36</v>
      </c>
    </row>
    <row r="5" spans="1:5" ht="34.049999999999997" customHeight="1">
      <c r="A5" s="8" t="s">
        <v>37</v>
      </c>
      <c r="B5" s="8" t="s">
        <v>38</v>
      </c>
      <c r="C5" s="8" t="s">
        <v>39</v>
      </c>
      <c r="D5" s="9" t="s">
        <v>40</v>
      </c>
      <c r="E5" s="9" t="s">
        <v>41</v>
      </c>
    </row>
    <row r="6" spans="1:5" ht="34.049999999999997" customHeight="1">
      <c r="A6" s="6" t="s">
        <v>42</v>
      </c>
      <c r="B6" s="6" t="s">
        <v>43</v>
      </c>
      <c r="C6" s="6" t="s">
        <v>44</v>
      </c>
      <c r="D6" s="7" t="s">
        <v>45</v>
      </c>
      <c r="E6" s="7" t="s">
        <v>46</v>
      </c>
    </row>
    <row r="7" spans="1:5" ht="34.049999999999997" customHeight="1">
      <c r="A7" s="8" t="s">
        <v>47</v>
      </c>
      <c r="B7" s="8" t="s">
        <v>48</v>
      </c>
      <c r="C7" s="8" t="s">
        <v>49</v>
      </c>
      <c r="D7" s="9" t="s">
        <v>50</v>
      </c>
      <c r="E7" s="9" t="s">
        <v>51</v>
      </c>
    </row>
    <row r="8" spans="1:5" ht="34.049999999999997" customHeight="1">
      <c r="A8" s="6" t="s">
        <v>52</v>
      </c>
      <c r="B8" s="6" t="s">
        <v>53</v>
      </c>
      <c r="C8" s="6" t="s">
        <v>54</v>
      </c>
      <c r="D8" s="7" t="s">
        <v>55</v>
      </c>
      <c r="E8" s="7" t="s">
        <v>56</v>
      </c>
    </row>
    <row r="9" spans="1:5" ht="34.049999999999997" customHeight="1">
      <c r="A9" s="8" t="s">
        <v>57</v>
      </c>
      <c r="B9" s="8" t="s">
        <v>58</v>
      </c>
      <c r="C9" s="8" t="s">
        <v>59</v>
      </c>
      <c r="D9" s="9" t="s">
        <v>60</v>
      </c>
      <c r="E9" s="9" t="s">
        <v>61</v>
      </c>
    </row>
    <row r="10" spans="1:5" ht="34.049999999999997" customHeight="1">
      <c r="A10" s="6" t="s">
        <v>37</v>
      </c>
      <c r="B10" s="6" t="s">
        <v>62</v>
      </c>
      <c r="C10" s="6" t="s">
        <v>63</v>
      </c>
      <c r="D10" s="7" t="s">
        <v>40</v>
      </c>
      <c r="E10" s="7" t="s">
        <v>41</v>
      </c>
    </row>
    <row r="11" spans="1:5" ht="34.049999999999997" customHeight="1">
      <c r="A11" s="8" t="s">
        <v>64</v>
      </c>
      <c r="B11" s="8" t="s">
        <v>65</v>
      </c>
      <c r="C11" s="8" t="s">
        <v>66</v>
      </c>
      <c r="D11" s="9" t="s">
        <v>67</v>
      </c>
      <c r="E11" s="9" t="s">
        <v>68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"/>
  <sheetViews>
    <sheetView showGridLines="0" tabSelected="1" workbookViewId="0">
      <pane xSplit="2" ySplit="1" topLeftCell="D2" activePane="bottomRight" state="frozen"/>
      <selection pane="topRight"/>
      <selection pane="bottomLeft"/>
      <selection pane="bottomRight" activeCell="J2" sqref="J2"/>
    </sheetView>
  </sheetViews>
  <sheetFormatPr defaultRowHeight="14.4"/>
  <cols>
    <col min="1" max="1" width="7" customWidth="1"/>
    <col min="2" max="4" width="12" customWidth="1"/>
    <col min="5" max="5" width="26" customWidth="1"/>
    <col min="6" max="6" width="48" customWidth="1"/>
    <col min="7" max="7" width="34" customWidth="1"/>
    <col min="8" max="8" width="38" customWidth="1"/>
    <col min="9" max="9" width="8" customWidth="1"/>
    <col min="10" max="10" width="10" customWidth="1"/>
    <col min="11" max="11" width="8" customWidth="1"/>
    <col min="12" max="12" width="20" customWidth="1"/>
  </cols>
  <sheetData>
    <row r="1" spans="1:12" ht="30" customHeight="1">
      <c r="A1" s="5" t="s">
        <v>18</v>
      </c>
      <c r="B1" s="5" t="s">
        <v>17</v>
      </c>
      <c r="C1" s="5" t="s">
        <v>69</v>
      </c>
      <c r="D1" s="5" t="s">
        <v>70</v>
      </c>
      <c r="E1" s="5" t="s">
        <v>20</v>
      </c>
      <c r="F1" s="5" t="s">
        <v>71</v>
      </c>
      <c r="G1" s="5" t="s">
        <v>72</v>
      </c>
      <c r="H1" s="5" t="s">
        <v>73</v>
      </c>
      <c r="I1" s="5" t="s">
        <v>74</v>
      </c>
      <c r="J1" s="5" t="s">
        <v>75</v>
      </c>
      <c r="K1" s="5" t="s">
        <v>76</v>
      </c>
      <c r="L1" s="5" t="s">
        <v>77</v>
      </c>
    </row>
    <row r="2" spans="1:12" ht="46.05" customHeight="1">
      <c r="A2" s="6" t="s">
        <v>78</v>
      </c>
      <c r="B2" s="6" t="s">
        <v>79</v>
      </c>
      <c r="C2" s="10">
        <v>46314</v>
      </c>
      <c r="D2" s="10">
        <v>46320</v>
      </c>
      <c r="E2" s="7" t="s">
        <v>80</v>
      </c>
      <c r="F2" s="7" t="s">
        <v>81</v>
      </c>
      <c r="G2" s="7" t="s">
        <v>82</v>
      </c>
      <c r="H2" s="7" t="s">
        <v>83</v>
      </c>
      <c r="I2" s="6">
        <v>8</v>
      </c>
      <c r="J2" s="6" t="s">
        <v>560</v>
      </c>
      <c r="K2" s="6"/>
      <c r="L2" s="7"/>
    </row>
    <row r="3" spans="1:12" ht="46.05" customHeight="1">
      <c r="A3" s="8" t="s">
        <v>85</v>
      </c>
      <c r="B3" s="8" t="s">
        <v>79</v>
      </c>
      <c r="C3" s="11">
        <v>46321</v>
      </c>
      <c r="D3" s="11">
        <v>46327</v>
      </c>
      <c r="E3" s="9" t="s">
        <v>86</v>
      </c>
      <c r="F3" s="9" t="s">
        <v>87</v>
      </c>
      <c r="G3" s="9" t="s">
        <v>88</v>
      </c>
      <c r="H3" s="9" t="s">
        <v>89</v>
      </c>
      <c r="I3" s="8">
        <v>8</v>
      </c>
      <c r="J3" s="8" t="s">
        <v>84</v>
      </c>
      <c r="K3" s="8"/>
      <c r="L3" s="9"/>
    </row>
    <row r="4" spans="1:12" ht="46.05" customHeight="1">
      <c r="A4" s="6" t="s">
        <v>90</v>
      </c>
      <c r="B4" s="6" t="s">
        <v>91</v>
      </c>
      <c r="C4" s="10">
        <v>46328</v>
      </c>
      <c r="D4" s="10">
        <v>46334</v>
      </c>
      <c r="E4" s="7" t="s">
        <v>92</v>
      </c>
      <c r="F4" s="7" t="s">
        <v>93</v>
      </c>
      <c r="G4" s="7" t="s">
        <v>94</v>
      </c>
      <c r="H4" s="7" t="s">
        <v>95</v>
      </c>
      <c r="I4" s="6">
        <v>8</v>
      </c>
      <c r="J4" s="6" t="s">
        <v>84</v>
      </c>
      <c r="K4" s="6"/>
      <c r="L4" s="7"/>
    </row>
    <row r="5" spans="1:12" ht="46.05" customHeight="1">
      <c r="A5" s="8" t="s">
        <v>96</v>
      </c>
      <c r="B5" s="8" t="s">
        <v>91</v>
      </c>
      <c r="C5" s="11">
        <v>46335</v>
      </c>
      <c r="D5" s="11">
        <v>46341</v>
      </c>
      <c r="E5" s="9" t="s">
        <v>97</v>
      </c>
      <c r="F5" s="9" t="s">
        <v>98</v>
      </c>
      <c r="G5" s="9" t="s">
        <v>99</v>
      </c>
      <c r="H5" s="9" t="s">
        <v>100</v>
      </c>
      <c r="I5" s="8">
        <v>8</v>
      </c>
      <c r="J5" s="8" t="s">
        <v>84</v>
      </c>
      <c r="K5" s="8"/>
      <c r="L5" s="9"/>
    </row>
    <row r="6" spans="1:12" ht="46.05" customHeight="1">
      <c r="A6" s="6" t="s">
        <v>101</v>
      </c>
      <c r="B6" s="6" t="s">
        <v>91</v>
      </c>
      <c r="C6" s="10">
        <v>46342</v>
      </c>
      <c r="D6" s="10">
        <v>46348</v>
      </c>
      <c r="E6" s="7" t="s">
        <v>102</v>
      </c>
      <c r="F6" s="7" t="s">
        <v>103</v>
      </c>
      <c r="G6" s="7" t="s">
        <v>104</v>
      </c>
      <c r="H6" s="7" t="s">
        <v>105</v>
      </c>
      <c r="I6" s="6">
        <v>9</v>
      </c>
      <c r="J6" s="6" t="s">
        <v>84</v>
      </c>
      <c r="K6" s="6"/>
      <c r="L6" s="7"/>
    </row>
    <row r="7" spans="1:12" ht="46.05" customHeight="1">
      <c r="A7" s="8" t="s">
        <v>106</v>
      </c>
      <c r="B7" s="8" t="s">
        <v>91</v>
      </c>
      <c r="C7" s="11">
        <v>46349</v>
      </c>
      <c r="D7" s="11">
        <v>46355</v>
      </c>
      <c r="E7" s="9" t="s">
        <v>107</v>
      </c>
      <c r="F7" s="9" t="s">
        <v>108</v>
      </c>
      <c r="G7" s="9" t="s">
        <v>109</v>
      </c>
      <c r="H7" s="9" t="s">
        <v>110</v>
      </c>
      <c r="I7" s="8">
        <v>9</v>
      </c>
      <c r="J7" s="8" t="s">
        <v>84</v>
      </c>
      <c r="K7" s="8"/>
      <c r="L7" s="9"/>
    </row>
    <row r="8" spans="1:12" ht="46.05" customHeight="1">
      <c r="A8" s="6" t="s">
        <v>111</v>
      </c>
      <c r="B8" s="6" t="s">
        <v>91</v>
      </c>
      <c r="C8" s="10">
        <v>46356</v>
      </c>
      <c r="D8" s="10">
        <v>46362</v>
      </c>
      <c r="E8" s="7" t="s">
        <v>112</v>
      </c>
      <c r="F8" s="7" t="s">
        <v>113</v>
      </c>
      <c r="G8" s="7" t="s">
        <v>114</v>
      </c>
      <c r="H8" s="7" t="s">
        <v>115</v>
      </c>
      <c r="I8" s="6">
        <v>9</v>
      </c>
      <c r="J8" s="6" t="s">
        <v>84</v>
      </c>
      <c r="K8" s="6"/>
      <c r="L8" s="7"/>
    </row>
    <row r="9" spans="1:12" ht="46.05" customHeight="1">
      <c r="A9" s="8" t="s">
        <v>116</v>
      </c>
      <c r="B9" s="8" t="s">
        <v>91</v>
      </c>
      <c r="C9" s="11">
        <v>46363</v>
      </c>
      <c r="D9" s="11">
        <v>46369</v>
      </c>
      <c r="E9" s="9" t="s">
        <v>117</v>
      </c>
      <c r="F9" s="9" t="s">
        <v>118</v>
      </c>
      <c r="G9" s="9" t="s">
        <v>119</v>
      </c>
      <c r="H9" s="9" t="s">
        <v>120</v>
      </c>
      <c r="I9" s="8">
        <v>9</v>
      </c>
      <c r="J9" s="8" t="s">
        <v>84</v>
      </c>
      <c r="K9" s="8"/>
      <c r="L9" s="9"/>
    </row>
    <row r="10" spans="1:12" ht="46.05" customHeight="1">
      <c r="A10" s="6" t="s">
        <v>121</v>
      </c>
      <c r="B10" s="6" t="s">
        <v>122</v>
      </c>
      <c r="C10" s="10">
        <v>46370</v>
      </c>
      <c r="D10" s="10">
        <v>46376</v>
      </c>
      <c r="E10" s="7" t="s">
        <v>123</v>
      </c>
      <c r="F10" s="7" t="s">
        <v>124</v>
      </c>
      <c r="G10" s="7" t="s">
        <v>125</v>
      </c>
      <c r="H10" s="7" t="s">
        <v>126</v>
      </c>
      <c r="I10" s="6">
        <v>8</v>
      </c>
      <c r="J10" s="6" t="s">
        <v>84</v>
      </c>
      <c r="K10" s="6"/>
      <c r="L10" s="7"/>
    </row>
    <row r="11" spans="1:12" ht="46.05" customHeight="1">
      <c r="A11" s="8" t="s">
        <v>127</v>
      </c>
      <c r="B11" s="8" t="s">
        <v>122</v>
      </c>
      <c r="C11" s="11">
        <v>46377</v>
      </c>
      <c r="D11" s="11">
        <v>46383</v>
      </c>
      <c r="E11" s="9" t="s">
        <v>128</v>
      </c>
      <c r="F11" s="9" t="s">
        <v>129</v>
      </c>
      <c r="G11" s="9" t="s">
        <v>130</v>
      </c>
      <c r="H11" s="9" t="s">
        <v>131</v>
      </c>
      <c r="I11" s="8">
        <v>9</v>
      </c>
      <c r="J11" s="8" t="s">
        <v>84</v>
      </c>
      <c r="K11" s="8"/>
      <c r="L11" s="9"/>
    </row>
    <row r="12" spans="1:12" ht="46.05" customHeight="1">
      <c r="A12" s="6" t="s">
        <v>132</v>
      </c>
      <c r="B12" s="6" t="s">
        <v>122</v>
      </c>
      <c r="C12" s="10">
        <v>46384</v>
      </c>
      <c r="D12" s="10">
        <v>46390</v>
      </c>
      <c r="E12" s="7" t="s">
        <v>133</v>
      </c>
      <c r="F12" s="7" t="s">
        <v>134</v>
      </c>
      <c r="G12" s="7" t="s">
        <v>135</v>
      </c>
      <c r="H12" s="7" t="s">
        <v>136</v>
      </c>
      <c r="I12" s="6">
        <v>8</v>
      </c>
      <c r="J12" s="6" t="s">
        <v>84</v>
      </c>
      <c r="K12" s="6"/>
      <c r="L12" s="7"/>
    </row>
    <row r="13" spans="1:12" ht="46.05" customHeight="1">
      <c r="A13" s="8" t="s">
        <v>137</v>
      </c>
      <c r="B13" s="8" t="s">
        <v>122</v>
      </c>
      <c r="C13" s="11">
        <v>46391</v>
      </c>
      <c r="D13" s="11">
        <v>46397</v>
      </c>
      <c r="E13" s="9" t="s">
        <v>138</v>
      </c>
      <c r="F13" s="9" t="s">
        <v>139</v>
      </c>
      <c r="G13" s="9" t="s">
        <v>140</v>
      </c>
      <c r="H13" s="9" t="s">
        <v>141</v>
      </c>
      <c r="I13" s="8">
        <v>9</v>
      </c>
      <c r="J13" s="8" t="s">
        <v>84</v>
      </c>
      <c r="K13" s="8"/>
      <c r="L13" s="9"/>
    </row>
    <row r="14" spans="1:12" ht="46.05" customHeight="1">
      <c r="A14" s="12" t="s">
        <v>142</v>
      </c>
      <c r="B14" s="12" t="s">
        <v>37</v>
      </c>
      <c r="C14" s="13">
        <v>46398</v>
      </c>
      <c r="D14" s="13">
        <v>46404</v>
      </c>
      <c r="E14" s="14" t="s">
        <v>143</v>
      </c>
      <c r="F14" s="14" t="s">
        <v>144</v>
      </c>
      <c r="G14" s="14" t="s">
        <v>145</v>
      </c>
      <c r="H14" s="14" t="s">
        <v>146</v>
      </c>
      <c r="I14" s="12">
        <v>3</v>
      </c>
      <c r="J14" s="12" t="s">
        <v>84</v>
      </c>
      <c r="K14" s="12"/>
      <c r="L14" s="14"/>
    </row>
    <row r="15" spans="1:12" ht="46.05" customHeight="1">
      <c r="A15" s="12" t="s">
        <v>147</v>
      </c>
      <c r="B15" s="12" t="s">
        <v>37</v>
      </c>
      <c r="C15" s="13">
        <v>46405</v>
      </c>
      <c r="D15" s="13">
        <v>46411</v>
      </c>
      <c r="E15" s="14" t="s">
        <v>148</v>
      </c>
      <c r="F15" s="14" t="s">
        <v>149</v>
      </c>
      <c r="G15" s="14" t="s">
        <v>150</v>
      </c>
      <c r="H15" s="14" t="s">
        <v>151</v>
      </c>
      <c r="I15" s="12">
        <v>2</v>
      </c>
      <c r="J15" s="12" t="s">
        <v>84</v>
      </c>
      <c r="K15" s="12"/>
      <c r="L15" s="14"/>
    </row>
    <row r="16" spans="1:12" ht="46.05" customHeight="1">
      <c r="A16" s="6" t="s">
        <v>152</v>
      </c>
      <c r="B16" s="6" t="s">
        <v>153</v>
      </c>
      <c r="C16" s="10">
        <v>46412</v>
      </c>
      <c r="D16" s="10">
        <v>46418</v>
      </c>
      <c r="E16" s="7" t="s">
        <v>154</v>
      </c>
      <c r="F16" s="7" t="s">
        <v>155</v>
      </c>
      <c r="G16" s="7" t="s">
        <v>156</v>
      </c>
      <c r="H16" s="7" t="s">
        <v>157</v>
      </c>
      <c r="I16" s="6">
        <v>10</v>
      </c>
      <c r="J16" s="6" t="s">
        <v>84</v>
      </c>
      <c r="K16" s="6"/>
      <c r="L16" s="7"/>
    </row>
    <row r="17" spans="1:12" ht="46.05" customHeight="1">
      <c r="A17" s="8" t="s">
        <v>158</v>
      </c>
      <c r="B17" s="8" t="s">
        <v>153</v>
      </c>
      <c r="C17" s="11">
        <v>46419</v>
      </c>
      <c r="D17" s="11">
        <v>46425</v>
      </c>
      <c r="E17" s="9" t="s">
        <v>159</v>
      </c>
      <c r="F17" s="9" t="s">
        <v>160</v>
      </c>
      <c r="G17" s="9" t="s">
        <v>161</v>
      </c>
      <c r="H17" s="9" t="s">
        <v>162</v>
      </c>
      <c r="I17" s="8">
        <v>10</v>
      </c>
      <c r="J17" s="8" t="s">
        <v>84</v>
      </c>
      <c r="K17" s="8"/>
      <c r="L17" s="9"/>
    </row>
    <row r="18" spans="1:12" ht="46.05" customHeight="1">
      <c r="A18" s="6" t="s">
        <v>163</v>
      </c>
      <c r="B18" s="6" t="s">
        <v>153</v>
      </c>
      <c r="C18" s="10">
        <v>46426</v>
      </c>
      <c r="D18" s="10">
        <v>46432</v>
      </c>
      <c r="E18" s="7" t="s">
        <v>164</v>
      </c>
      <c r="F18" s="7" t="s">
        <v>165</v>
      </c>
      <c r="G18" s="7" t="s">
        <v>166</v>
      </c>
      <c r="H18" s="7" t="s">
        <v>167</v>
      </c>
      <c r="I18" s="6">
        <v>8</v>
      </c>
      <c r="J18" s="6" t="s">
        <v>84</v>
      </c>
      <c r="K18" s="6"/>
      <c r="L18" s="7"/>
    </row>
    <row r="19" spans="1:12" ht="46.05" customHeight="1">
      <c r="A19" s="8" t="s">
        <v>48</v>
      </c>
      <c r="B19" s="8" t="s">
        <v>47</v>
      </c>
      <c r="C19" s="11">
        <v>46433</v>
      </c>
      <c r="D19" s="11">
        <v>46439</v>
      </c>
      <c r="E19" s="9" t="s">
        <v>168</v>
      </c>
      <c r="F19" s="9" t="s">
        <v>169</v>
      </c>
      <c r="G19" s="9" t="s">
        <v>170</v>
      </c>
      <c r="H19" s="9" t="s">
        <v>171</v>
      </c>
      <c r="I19" s="8">
        <v>5</v>
      </c>
      <c r="J19" s="8" t="s">
        <v>84</v>
      </c>
      <c r="K19" s="8"/>
      <c r="L19" s="9"/>
    </row>
    <row r="20" spans="1:12" ht="46.05" customHeight="1">
      <c r="A20" s="6" t="s">
        <v>172</v>
      </c>
      <c r="B20" s="6" t="s">
        <v>173</v>
      </c>
      <c r="C20" s="10">
        <v>46440</v>
      </c>
      <c r="D20" s="10">
        <v>46446</v>
      </c>
      <c r="E20" s="7" t="s">
        <v>174</v>
      </c>
      <c r="F20" s="7" t="s">
        <v>175</v>
      </c>
      <c r="G20" s="7" t="s">
        <v>176</v>
      </c>
      <c r="H20" s="7" t="s">
        <v>177</v>
      </c>
      <c r="I20" s="6">
        <v>10</v>
      </c>
      <c r="J20" s="6" t="s">
        <v>84</v>
      </c>
      <c r="K20" s="6"/>
      <c r="L20" s="7"/>
    </row>
    <row r="21" spans="1:12" ht="46.05" customHeight="1">
      <c r="A21" s="8" t="s">
        <v>178</v>
      </c>
      <c r="B21" s="8" t="s">
        <v>173</v>
      </c>
      <c r="C21" s="11">
        <v>46447</v>
      </c>
      <c r="D21" s="11">
        <v>46453</v>
      </c>
      <c r="E21" s="9" t="s">
        <v>179</v>
      </c>
      <c r="F21" s="9" t="s">
        <v>180</v>
      </c>
      <c r="G21" s="9" t="s">
        <v>181</v>
      </c>
      <c r="H21" s="9" t="s">
        <v>182</v>
      </c>
      <c r="I21" s="8">
        <v>10</v>
      </c>
      <c r="J21" s="8" t="s">
        <v>84</v>
      </c>
      <c r="K21" s="8"/>
      <c r="L21" s="9"/>
    </row>
    <row r="22" spans="1:12" ht="46.05" customHeight="1">
      <c r="A22" s="6" t="s">
        <v>183</v>
      </c>
      <c r="B22" s="6" t="s">
        <v>173</v>
      </c>
      <c r="C22" s="10">
        <v>46454</v>
      </c>
      <c r="D22" s="10">
        <v>46460</v>
      </c>
      <c r="E22" s="7" t="s">
        <v>184</v>
      </c>
      <c r="F22" s="7" t="s">
        <v>185</v>
      </c>
      <c r="G22" s="7" t="s">
        <v>186</v>
      </c>
      <c r="H22" s="7" t="s">
        <v>187</v>
      </c>
      <c r="I22" s="6">
        <v>10</v>
      </c>
      <c r="J22" s="6" t="s">
        <v>84</v>
      </c>
      <c r="K22" s="6"/>
      <c r="L22" s="7"/>
    </row>
    <row r="23" spans="1:12" ht="46.05" customHeight="1">
      <c r="A23" s="8" t="s">
        <v>188</v>
      </c>
      <c r="B23" s="8" t="s">
        <v>173</v>
      </c>
      <c r="C23" s="11">
        <v>46461</v>
      </c>
      <c r="D23" s="11">
        <v>46467</v>
      </c>
      <c r="E23" s="9" t="s">
        <v>189</v>
      </c>
      <c r="F23" s="9" t="s">
        <v>190</v>
      </c>
      <c r="G23" s="9" t="s">
        <v>191</v>
      </c>
      <c r="H23" s="9" t="s">
        <v>192</v>
      </c>
      <c r="I23" s="8">
        <v>10</v>
      </c>
      <c r="J23" s="8" t="s">
        <v>84</v>
      </c>
      <c r="K23" s="8"/>
      <c r="L23" s="9"/>
    </row>
    <row r="24" spans="1:12" ht="46.05" customHeight="1">
      <c r="A24" s="6" t="s">
        <v>193</v>
      </c>
      <c r="B24" s="6" t="s">
        <v>173</v>
      </c>
      <c r="C24" s="10">
        <v>46468</v>
      </c>
      <c r="D24" s="10">
        <v>46474</v>
      </c>
      <c r="E24" s="7" t="s">
        <v>194</v>
      </c>
      <c r="F24" s="7" t="s">
        <v>195</v>
      </c>
      <c r="G24" s="7" t="s">
        <v>196</v>
      </c>
      <c r="H24" s="7" t="s">
        <v>197</v>
      </c>
      <c r="I24" s="6">
        <v>10</v>
      </c>
      <c r="J24" s="6" t="s">
        <v>84</v>
      </c>
      <c r="K24" s="6"/>
      <c r="L24" s="7"/>
    </row>
    <row r="25" spans="1:12" ht="46.05" customHeight="1">
      <c r="A25" s="8" t="s">
        <v>198</v>
      </c>
      <c r="B25" s="8" t="s">
        <v>173</v>
      </c>
      <c r="C25" s="11">
        <v>46475</v>
      </c>
      <c r="D25" s="11">
        <v>46481</v>
      </c>
      <c r="E25" s="9" t="s">
        <v>199</v>
      </c>
      <c r="F25" s="9" t="s">
        <v>200</v>
      </c>
      <c r="G25" s="9" t="s">
        <v>201</v>
      </c>
      <c r="H25" s="9" t="s">
        <v>202</v>
      </c>
      <c r="I25" s="8">
        <v>10</v>
      </c>
      <c r="J25" s="8" t="s">
        <v>84</v>
      </c>
      <c r="K25" s="8"/>
      <c r="L25" s="9"/>
    </row>
    <row r="26" spans="1:12" ht="46.05" customHeight="1">
      <c r="A26" s="6" t="s">
        <v>203</v>
      </c>
      <c r="B26" s="6" t="s">
        <v>173</v>
      </c>
      <c r="C26" s="10">
        <v>46482</v>
      </c>
      <c r="D26" s="10">
        <v>46488</v>
      </c>
      <c r="E26" s="7" t="s">
        <v>204</v>
      </c>
      <c r="F26" s="7" t="s">
        <v>205</v>
      </c>
      <c r="G26" s="7" t="s">
        <v>206</v>
      </c>
      <c r="H26" s="7" t="s">
        <v>207</v>
      </c>
      <c r="I26" s="6">
        <v>10</v>
      </c>
      <c r="J26" s="6" t="s">
        <v>84</v>
      </c>
      <c r="K26" s="6"/>
      <c r="L26" s="7"/>
    </row>
    <row r="27" spans="1:12" ht="46.05" customHeight="1">
      <c r="A27" s="8" t="s">
        <v>208</v>
      </c>
      <c r="B27" s="8" t="s">
        <v>173</v>
      </c>
      <c r="C27" s="11">
        <v>46489</v>
      </c>
      <c r="D27" s="11">
        <v>46495</v>
      </c>
      <c r="E27" s="9" t="s">
        <v>209</v>
      </c>
      <c r="F27" s="9" t="s">
        <v>210</v>
      </c>
      <c r="G27" s="9" t="s">
        <v>211</v>
      </c>
      <c r="H27" s="9" t="s">
        <v>212</v>
      </c>
      <c r="I27" s="8">
        <v>8</v>
      </c>
      <c r="J27" s="8" t="s">
        <v>84</v>
      </c>
      <c r="K27" s="8"/>
      <c r="L27" s="9"/>
    </row>
    <row r="28" spans="1:12" ht="46.05" customHeight="1">
      <c r="A28" s="6" t="s">
        <v>213</v>
      </c>
      <c r="B28" s="6" t="s">
        <v>214</v>
      </c>
      <c r="C28" s="10">
        <v>46496</v>
      </c>
      <c r="D28" s="10">
        <v>46502</v>
      </c>
      <c r="E28" s="7" t="s">
        <v>215</v>
      </c>
      <c r="F28" s="7" t="s">
        <v>216</v>
      </c>
      <c r="G28" s="7" t="s">
        <v>217</v>
      </c>
      <c r="H28" s="7" t="s">
        <v>218</v>
      </c>
      <c r="I28" s="6">
        <v>10</v>
      </c>
      <c r="J28" s="6" t="s">
        <v>84</v>
      </c>
      <c r="K28" s="6"/>
      <c r="L28" s="7"/>
    </row>
    <row r="29" spans="1:12" ht="46.05" customHeight="1">
      <c r="A29" s="8" t="s">
        <v>219</v>
      </c>
      <c r="B29" s="8" t="s">
        <v>214</v>
      </c>
      <c r="C29" s="11">
        <v>46503</v>
      </c>
      <c r="D29" s="11">
        <v>46509</v>
      </c>
      <c r="E29" s="9" t="s">
        <v>220</v>
      </c>
      <c r="F29" s="9" t="s">
        <v>221</v>
      </c>
      <c r="G29" s="9" t="s">
        <v>222</v>
      </c>
      <c r="H29" s="9" t="s">
        <v>223</v>
      </c>
      <c r="I29" s="8">
        <v>8</v>
      </c>
      <c r="J29" s="8" t="s">
        <v>84</v>
      </c>
      <c r="K29" s="8"/>
      <c r="L29" s="9"/>
    </row>
    <row r="30" spans="1:12" ht="46.05" customHeight="1">
      <c r="A30" s="6" t="s">
        <v>224</v>
      </c>
      <c r="B30" s="6" t="s">
        <v>214</v>
      </c>
      <c r="C30" s="10">
        <v>46510</v>
      </c>
      <c r="D30" s="10">
        <v>46516</v>
      </c>
      <c r="E30" s="7" t="s">
        <v>225</v>
      </c>
      <c r="F30" s="7" t="s">
        <v>226</v>
      </c>
      <c r="G30" s="7" t="s">
        <v>227</v>
      </c>
      <c r="H30" s="7" t="s">
        <v>228</v>
      </c>
      <c r="I30" s="6">
        <v>10</v>
      </c>
      <c r="J30" s="6" t="s">
        <v>84</v>
      </c>
      <c r="K30" s="6"/>
      <c r="L30" s="7"/>
    </row>
    <row r="31" spans="1:12" ht="46.05" customHeight="1">
      <c r="A31" s="8" t="s">
        <v>229</v>
      </c>
      <c r="B31" s="8" t="s">
        <v>214</v>
      </c>
      <c r="C31" s="11">
        <v>46517</v>
      </c>
      <c r="D31" s="11">
        <v>46523</v>
      </c>
      <c r="E31" s="9" t="s">
        <v>230</v>
      </c>
      <c r="F31" s="9" t="s">
        <v>231</v>
      </c>
      <c r="G31" s="9" t="s">
        <v>232</v>
      </c>
      <c r="H31" s="9" t="s">
        <v>233</v>
      </c>
      <c r="I31" s="8">
        <v>10</v>
      </c>
      <c r="J31" s="8" t="s">
        <v>84</v>
      </c>
      <c r="K31" s="8"/>
      <c r="L31" s="9"/>
    </row>
    <row r="32" spans="1:12" ht="46.05" customHeight="1">
      <c r="A32" s="6" t="s">
        <v>234</v>
      </c>
      <c r="B32" s="6" t="s">
        <v>214</v>
      </c>
      <c r="C32" s="10">
        <v>46524</v>
      </c>
      <c r="D32" s="10">
        <v>46530</v>
      </c>
      <c r="E32" s="7" t="s">
        <v>235</v>
      </c>
      <c r="F32" s="7" t="s">
        <v>236</v>
      </c>
      <c r="G32" s="7" t="s">
        <v>237</v>
      </c>
      <c r="H32" s="7" t="s">
        <v>238</v>
      </c>
      <c r="I32" s="6">
        <v>9</v>
      </c>
      <c r="J32" s="6" t="s">
        <v>84</v>
      </c>
      <c r="K32" s="6"/>
      <c r="L32" s="7"/>
    </row>
    <row r="33" spans="1:12" ht="46.05" customHeight="1">
      <c r="A33" s="8" t="s">
        <v>239</v>
      </c>
      <c r="B33" s="8" t="s">
        <v>214</v>
      </c>
      <c r="C33" s="11">
        <v>46531</v>
      </c>
      <c r="D33" s="11">
        <v>46537</v>
      </c>
      <c r="E33" s="9" t="s">
        <v>240</v>
      </c>
      <c r="F33" s="9" t="s">
        <v>241</v>
      </c>
      <c r="G33" s="9" t="s">
        <v>242</v>
      </c>
      <c r="H33" s="9" t="s">
        <v>243</v>
      </c>
      <c r="I33" s="8">
        <v>8</v>
      </c>
      <c r="J33" s="8" t="s">
        <v>84</v>
      </c>
      <c r="K33" s="8"/>
      <c r="L33" s="9"/>
    </row>
    <row r="34" spans="1:12" ht="46.05" customHeight="1">
      <c r="A34" s="12" t="s">
        <v>244</v>
      </c>
      <c r="B34" s="12" t="s">
        <v>37</v>
      </c>
      <c r="C34" s="13">
        <v>46538</v>
      </c>
      <c r="D34" s="13">
        <v>46544</v>
      </c>
      <c r="E34" s="14" t="s">
        <v>143</v>
      </c>
      <c r="F34" s="14" t="s">
        <v>245</v>
      </c>
      <c r="G34" s="14" t="s">
        <v>145</v>
      </c>
      <c r="H34" s="14" t="s">
        <v>146</v>
      </c>
      <c r="I34" s="12">
        <v>3</v>
      </c>
      <c r="J34" s="12" t="s">
        <v>84</v>
      </c>
      <c r="K34" s="12"/>
      <c r="L34" s="14"/>
    </row>
    <row r="35" spans="1:12" ht="46.05" customHeight="1">
      <c r="A35" s="12" t="s">
        <v>246</v>
      </c>
      <c r="B35" s="12" t="s">
        <v>37</v>
      </c>
      <c r="C35" s="13">
        <v>46545</v>
      </c>
      <c r="D35" s="13">
        <v>46551</v>
      </c>
      <c r="E35" s="14" t="s">
        <v>148</v>
      </c>
      <c r="F35" s="14" t="s">
        <v>247</v>
      </c>
      <c r="G35" s="14" t="s">
        <v>248</v>
      </c>
      <c r="H35" s="14" t="s">
        <v>151</v>
      </c>
      <c r="I35" s="12">
        <v>2</v>
      </c>
      <c r="J35" s="12" t="s">
        <v>84</v>
      </c>
      <c r="K35" s="12"/>
      <c r="L35" s="14"/>
    </row>
    <row r="36" spans="1:12" ht="46.05" customHeight="1">
      <c r="A36" s="6" t="s">
        <v>249</v>
      </c>
      <c r="B36" s="6" t="s">
        <v>250</v>
      </c>
      <c r="C36" s="10">
        <v>46552</v>
      </c>
      <c r="D36" s="10">
        <v>46558</v>
      </c>
      <c r="E36" s="7" t="s">
        <v>251</v>
      </c>
      <c r="F36" s="7" t="s">
        <v>252</v>
      </c>
      <c r="G36" s="7" t="s">
        <v>253</v>
      </c>
      <c r="H36" s="7" t="s">
        <v>254</v>
      </c>
      <c r="I36" s="6">
        <v>15</v>
      </c>
      <c r="J36" s="6" t="s">
        <v>84</v>
      </c>
      <c r="K36" s="6"/>
      <c r="L36" s="7"/>
    </row>
    <row r="37" spans="1:12" ht="46.05" customHeight="1">
      <c r="A37" s="8" t="s">
        <v>255</v>
      </c>
      <c r="B37" s="8" t="s">
        <v>250</v>
      </c>
      <c r="C37" s="11">
        <v>46559</v>
      </c>
      <c r="D37" s="11">
        <v>46565</v>
      </c>
      <c r="E37" s="9" t="s">
        <v>256</v>
      </c>
      <c r="F37" s="9" t="s">
        <v>257</v>
      </c>
      <c r="G37" s="9" t="s">
        <v>258</v>
      </c>
      <c r="H37" s="9" t="s">
        <v>259</v>
      </c>
      <c r="I37" s="8">
        <v>15</v>
      </c>
      <c r="J37" s="8" t="s">
        <v>84</v>
      </c>
      <c r="K37" s="8"/>
      <c r="L37" s="9"/>
    </row>
    <row r="38" spans="1:12" ht="46.05" customHeight="1">
      <c r="A38" s="6" t="s">
        <v>260</v>
      </c>
      <c r="B38" s="6" t="s">
        <v>250</v>
      </c>
      <c r="C38" s="10">
        <v>46566</v>
      </c>
      <c r="D38" s="10">
        <v>46572</v>
      </c>
      <c r="E38" s="7" t="s">
        <v>261</v>
      </c>
      <c r="F38" s="7" t="s">
        <v>262</v>
      </c>
      <c r="G38" s="7" t="s">
        <v>263</v>
      </c>
      <c r="H38" s="7" t="s">
        <v>264</v>
      </c>
      <c r="I38" s="6">
        <v>15</v>
      </c>
      <c r="J38" s="6" t="s">
        <v>84</v>
      </c>
      <c r="K38" s="6"/>
      <c r="L38" s="7"/>
    </row>
    <row r="39" spans="1:12" ht="46.05" customHeight="1">
      <c r="A39" s="8" t="s">
        <v>265</v>
      </c>
      <c r="B39" s="8" t="s">
        <v>250</v>
      </c>
      <c r="C39" s="11">
        <v>46573</v>
      </c>
      <c r="D39" s="11">
        <v>46579</v>
      </c>
      <c r="E39" s="9" t="s">
        <v>266</v>
      </c>
      <c r="F39" s="9" t="s">
        <v>267</v>
      </c>
      <c r="G39" s="9" t="s">
        <v>268</v>
      </c>
      <c r="H39" s="9" t="s">
        <v>269</v>
      </c>
      <c r="I39" s="8">
        <v>15</v>
      </c>
      <c r="J39" s="8" t="s">
        <v>84</v>
      </c>
      <c r="K39" s="8"/>
      <c r="L39" s="9"/>
    </row>
    <row r="40" spans="1:12" ht="46.05" customHeight="1">
      <c r="A40" s="6" t="s">
        <v>270</v>
      </c>
      <c r="B40" s="6" t="s">
        <v>250</v>
      </c>
      <c r="C40" s="10">
        <v>46580</v>
      </c>
      <c r="D40" s="10">
        <v>46586</v>
      </c>
      <c r="E40" s="7" t="s">
        <v>271</v>
      </c>
      <c r="F40" s="7" t="s">
        <v>272</v>
      </c>
      <c r="G40" s="7" t="s">
        <v>273</v>
      </c>
      <c r="H40" s="7" t="s">
        <v>274</v>
      </c>
      <c r="I40" s="6">
        <v>12</v>
      </c>
      <c r="J40" s="6" t="s">
        <v>84</v>
      </c>
      <c r="K40" s="6"/>
      <c r="L40" s="7"/>
    </row>
    <row r="41" spans="1:12" ht="46.05" customHeight="1">
      <c r="A41" s="8" t="s">
        <v>275</v>
      </c>
      <c r="B41" s="8" t="s">
        <v>250</v>
      </c>
      <c r="C41" s="11">
        <v>46587</v>
      </c>
      <c r="D41" s="11">
        <v>46593</v>
      </c>
      <c r="E41" s="9" t="s">
        <v>276</v>
      </c>
      <c r="F41" s="9" t="s">
        <v>277</v>
      </c>
      <c r="G41" s="9" t="s">
        <v>278</v>
      </c>
      <c r="H41" s="9" t="s">
        <v>279</v>
      </c>
      <c r="I41" s="8">
        <v>15</v>
      </c>
      <c r="J41" s="8" t="s">
        <v>84</v>
      </c>
      <c r="K41" s="8"/>
      <c r="L41" s="9"/>
    </row>
    <row r="42" spans="1:12" ht="46.05" customHeight="1">
      <c r="A42" s="6" t="s">
        <v>280</v>
      </c>
      <c r="B42" s="6" t="s">
        <v>250</v>
      </c>
      <c r="C42" s="10">
        <v>46594</v>
      </c>
      <c r="D42" s="10">
        <v>46600</v>
      </c>
      <c r="E42" s="7" t="s">
        <v>281</v>
      </c>
      <c r="F42" s="7" t="s">
        <v>282</v>
      </c>
      <c r="G42" s="7" t="s">
        <v>283</v>
      </c>
      <c r="H42" s="7" t="s">
        <v>284</v>
      </c>
      <c r="I42" s="6">
        <v>15</v>
      </c>
      <c r="J42" s="6" t="s">
        <v>84</v>
      </c>
      <c r="K42" s="6"/>
      <c r="L42" s="7"/>
    </row>
    <row r="43" spans="1:12" ht="46.05" customHeight="1">
      <c r="A43" s="8" t="s">
        <v>285</v>
      </c>
      <c r="B43" s="8" t="s">
        <v>250</v>
      </c>
      <c r="C43" s="11">
        <v>46601</v>
      </c>
      <c r="D43" s="11">
        <v>46607</v>
      </c>
      <c r="E43" s="9" t="s">
        <v>286</v>
      </c>
      <c r="F43" s="9" t="s">
        <v>287</v>
      </c>
      <c r="G43" s="9" t="s">
        <v>288</v>
      </c>
      <c r="H43" s="9" t="s">
        <v>289</v>
      </c>
      <c r="I43" s="8">
        <v>8</v>
      </c>
      <c r="J43" s="8" t="s">
        <v>84</v>
      </c>
      <c r="K43" s="8"/>
      <c r="L43" s="9"/>
    </row>
  </sheetData>
  <autoFilter ref="A1:L43" xr:uid="{00000000-0009-0000-0000-000002000000}"/>
  <phoneticPr fontId="8" type="noConversion"/>
  <conditionalFormatting sqref="J2:J43">
    <cfRule type="cellIs" dxfId="3" priority="1" operator="equal">
      <formula>"已完成"</formula>
    </cfRule>
    <cfRule type="cellIs" dxfId="2" priority="2" operator="equal">
      <formula>"进行中"</formula>
    </cfRule>
    <cfRule type="cellIs" dxfId="1" priority="3" operator="equal">
      <formula>"延期"</formula>
    </cfRule>
  </conditionalFormatting>
  <dataValidations count="1">
    <dataValidation type="list" errorTitle="无效状态" error="请从下拉列表选择状态" sqref="J2:J43" xr:uid="{00000000-0002-0000-0200-000000000000}">
      <formula1>"未开始,进行中,已完成,延期"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1" width="9" customWidth="1"/>
    <col min="2" max="2" width="13" customWidth="1"/>
    <col min="3" max="3" width="34" customWidth="1"/>
    <col min="4" max="4" width="44" customWidth="1"/>
    <col min="5" max="5" width="42" customWidth="1"/>
    <col min="6" max="6" width="10" customWidth="1"/>
  </cols>
  <sheetData>
    <row r="1" spans="1:6" ht="30" customHeight="1">
      <c r="A1" s="5" t="s">
        <v>290</v>
      </c>
      <c r="B1" s="5" t="s">
        <v>291</v>
      </c>
      <c r="C1" s="5" t="s">
        <v>292</v>
      </c>
      <c r="D1" s="5" t="s">
        <v>293</v>
      </c>
      <c r="E1" s="5" t="s">
        <v>294</v>
      </c>
      <c r="F1" s="5" t="s">
        <v>75</v>
      </c>
    </row>
    <row r="2" spans="1:6" ht="22.05" customHeight="1">
      <c r="A2" s="6" t="s">
        <v>295</v>
      </c>
      <c r="B2" s="7" t="s">
        <v>296</v>
      </c>
      <c r="C2" s="7" t="s">
        <v>297</v>
      </c>
      <c r="D2" s="15" t="s">
        <v>298</v>
      </c>
      <c r="E2" s="7" t="s">
        <v>299</v>
      </c>
      <c r="F2" s="6" t="s">
        <v>84</v>
      </c>
    </row>
    <row r="3" spans="1:6" ht="22.05" customHeight="1">
      <c r="A3" s="8" t="s">
        <v>295</v>
      </c>
      <c r="B3" s="9" t="s">
        <v>296</v>
      </c>
      <c r="C3" s="9" t="s">
        <v>300</v>
      </c>
      <c r="D3" s="16" t="s">
        <v>301</v>
      </c>
      <c r="E3" s="9" t="s">
        <v>302</v>
      </c>
      <c r="F3" s="8" t="s">
        <v>84</v>
      </c>
    </row>
    <row r="4" spans="1:6" ht="22.05" customHeight="1">
      <c r="A4" s="6" t="s">
        <v>295</v>
      </c>
      <c r="B4" s="7" t="s">
        <v>303</v>
      </c>
      <c r="C4" s="7" t="s">
        <v>304</v>
      </c>
      <c r="D4" s="15" t="s">
        <v>305</v>
      </c>
      <c r="E4" s="7" t="s">
        <v>306</v>
      </c>
      <c r="F4" s="6" t="s">
        <v>84</v>
      </c>
    </row>
    <row r="5" spans="1:6" ht="22.05" customHeight="1">
      <c r="A5" s="8" t="s">
        <v>295</v>
      </c>
      <c r="B5" s="9" t="s">
        <v>303</v>
      </c>
      <c r="C5" s="9" t="s">
        <v>307</v>
      </c>
      <c r="D5" s="16" t="s">
        <v>308</v>
      </c>
      <c r="E5" s="9" t="s">
        <v>309</v>
      </c>
      <c r="F5" s="8" t="s">
        <v>84</v>
      </c>
    </row>
    <row r="6" spans="1:6" ht="22.05" customHeight="1">
      <c r="A6" s="6" t="s">
        <v>295</v>
      </c>
      <c r="B6" s="7" t="s">
        <v>310</v>
      </c>
      <c r="C6" s="7" t="s">
        <v>311</v>
      </c>
      <c r="D6" s="15" t="s">
        <v>312</v>
      </c>
      <c r="E6" s="7" t="s">
        <v>313</v>
      </c>
      <c r="F6" s="6" t="s">
        <v>84</v>
      </c>
    </row>
    <row r="7" spans="1:6" ht="22.05" customHeight="1">
      <c r="A7" s="8" t="s">
        <v>295</v>
      </c>
      <c r="B7" s="9" t="s">
        <v>310</v>
      </c>
      <c r="C7" s="9" t="s">
        <v>314</v>
      </c>
      <c r="D7" s="16" t="s">
        <v>315</v>
      </c>
      <c r="E7" s="9" t="s">
        <v>316</v>
      </c>
      <c r="F7" s="8" t="s">
        <v>84</v>
      </c>
    </row>
    <row r="8" spans="1:6" ht="22.05" customHeight="1">
      <c r="A8" s="6" t="s">
        <v>295</v>
      </c>
      <c r="B8" s="7" t="s">
        <v>317</v>
      </c>
      <c r="C8" s="7" t="s">
        <v>318</v>
      </c>
      <c r="D8" s="15" t="s">
        <v>319</v>
      </c>
      <c r="E8" s="7" t="s">
        <v>320</v>
      </c>
      <c r="F8" s="6" t="s">
        <v>84</v>
      </c>
    </row>
    <row r="9" spans="1:6" ht="22.05" customHeight="1">
      <c r="A9" s="8" t="s">
        <v>295</v>
      </c>
      <c r="B9" s="9" t="s">
        <v>321</v>
      </c>
      <c r="C9" s="9" t="s">
        <v>322</v>
      </c>
      <c r="D9" s="9"/>
      <c r="E9" s="9" t="s">
        <v>323</v>
      </c>
      <c r="F9" s="8" t="s">
        <v>84</v>
      </c>
    </row>
    <row r="10" spans="1:6" ht="22.05" customHeight="1">
      <c r="A10" s="6" t="s">
        <v>324</v>
      </c>
      <c r="B10" s="7" t="s">
        <v>310</v>
      </c>
      <c r="C10" s="7" t="s">
        <v>325</v>
      </c>
      <c r="D10" s="15" t="s">
        <v>326</v>
      </c>
      <c r="E10" s="7" t="s">
        <v>327</v>
      </c>
      <c r="F10" s="6" t="s">
        <v>84</v>
      </c>
    </row>
    <row r="11" spans="1:6" ht="22.05" customHeight="1">
      <c r="A11" s="8" t="s">
        <v>324</v>
      </c>
      <c r="B11" s="9" t="s">
        <v>310</v>
      </c>
      <c r="C11" s="9" t="s">
        <v>328</v>
      </c>
      <c r="D11" s="16" t="s">
        <v>329</v>
      </c>
      <c r="E11" s="9" t="s">
        <v>330</v>
      </c>
      <c r="F11" s="8" t="s">
        <v>84</v>
      </c>
    </row>
    <row r="12" spans="1:6" ht="22.05" customHeight="1">
      <c r="A12" s="6" t="s">
        <v>324</v>
      </c>
      <c r="B12" s="7" t="s">
        <v>303</v>
      </c>
      <c r="C12" s="7" t="s">
        <v>331</v>
      </c>
      <c r="D12" s="15" t="s">
        <v>332</v>
      </c>
      <c r="E12" s="7" t="s">
        <v>333</v>
      </c>
      <c r="F12" s="6" t="s">
        <v>84</v>
      </c>
    </row>
    <row r="13" spans="1:6" ht="22.05" customHeight="1">
      <c r="A13" s="8" t="s">
        <v>324</v>
      </c>
      <c r="B13" s="9" t="s">
        <v>303</v>
      </c>
      <c r="C13" s="9" t="s">
        <v>334</v>
      </c>
      <c r="D13" s="16" t="s">
        <v>335</v>
      </c>
      <c r="E13" s="9" t="s">
        <v>336</v>
      </c>
      <c r="F13" s="8" t="s">
        <v>84</v>
      </c>
    </row>
    <row r="14" spans="1:6" ht="22.05" customHeight="1">
      <c r="A14" s="6" t="s">
        <v>324</v>
      </c>
      <c r="B14" s="7" t="s">
        <v>337</v>
      </c>
      <c r="C14" s="7" t="s">
        <v>338</v>
      </c>
      <c r="D14" s="15" t="s">
        <v>339</v>
      </c>
      <c r="E14" s="7" t="s">
        <v>340</v>
      </c>
      <c r="F14" s="6" t="s">
        <v>84</v>
      </c>
    </row>
    <row r="15" spans="1:6" ht="22.05" customHeight="1">
      <c r="A15" s="8" t="s">
        <v>324</v>
      </c>
      <c r="B15" s="9" t="s">
        <v>337</v>
      </c>
      <c r="C15" s="9" t="s">
        <v>341</v>
      </c>
      <c r="D15" s="16" t="s">
        <v>342</v>
      </c>
      <c r="E15" s="9" t="s">
        <v>343</v>
      </c>
      <c r="F15" s="8" t="s">
        <v>84</v>
      </c>
    </row>
    <row r="16" spans="1:6" ht="22.05" customHeight="1">
      <c r="A16" s="6" t="s">
        <v>324</v>
      </c>
      <c r="B16" s="7" t="s">
        <v>337</v>
      </c>
      <c r="C16" s="7" t="s">
        <v>344</v>
      </c>
      <c r="D16" s="15" t="s">
        <v>345</v>
      </c>
      <c r="E16" s="7" t="s">
        <v>346</v>
      </c>
      <c r="F16" s="6" t="s">
        <v>84</v>
      </c>
    </row>
    <row r="17" spans="1:6" ht="22.05" customHeight="1">
      <c r="A17" s="8" t="s">
        <v>324</v>
      </c>
      <c r="B17" s="9" t="s">
        <v>321</v>
      </c>
      <c r="C17" s="9" t="s">
        <v>347</v>
      </c>
      <c r="D17" s="9"/>
      <c r="E17" s="9" t="s">
        <v>348</v>
      </c>
      <c r="F17" s="8" t="s">
        <v>84</v>
      </c>
    </row>
    <row r="18" spans="1:6" ht="22.05" customHeight="1">
      <c r="A18" s="6" t="s">
        <v>324</v>
      </c>
      <c r="B18" s="7" t="s">
        <v>296</v>
      </c>
      <c r="C18" s="7" t="s">
        <v>349</v>
      </c>
      <c r="D18" s="15" t="s">
        <v>350</v>
      </c>
      <c r="E18" s="7" t="s">
        <v>351</v>
      </c>
      <c r="F18" s="6" t="s">
        <v>84</v>
      </c>
    </row>
    <row r="19" spans="1:6" ht="22.05" customHeight="1">
      <c r="A19" s="8" t="s">
        <v>324</v>
      </c>
      <c r="B19" s="9" t="s">
        <v>352</v>
      </c>
      <c r="C19" s="9" t="s">
        <v>353</v>
      </c>
      <c r="D19" s="16" t="s">
        <v>354</v>
      </c>
      <c r="E19" s="9" t="s">
        <v>355</v>
      </c>
      <c r="F19" s="8" t="s">
        <v>84</v>
      </c>
    </row>
    <row r="20" spans="1:6" ht="22.05" customHeight="1">
      <c r="A20" s="6" t="s">
        <v>324</v>
      </c>
      <c r="B20" s="7" t="s">
        <v>352</v>
      </c>
      <c r="C20" s="7" t="s">
        <v>356</v>
      </c>
      <c r="D20" s="15" t="s">
        <v>357</v>
      </c>
      <c r="E20" s="7" t="s">
        <v>358</v>
      </c>
      <c r="F20" s="6" t="s">
        <v>84</v>
      </c>
    </row>
    <row r="21" spans="1:6" ht="22.05" customHeight="1">
      <c r="A21" s="8" t="s">
        <v>359</v>
      </c>
      <c r="B21" s="9" t="s">
        <v>296</v>
      </c>
      <c r="C21" s="9" t="s">
        <v>360</v>
      </c>
      <c r="D21" s="16" t="s">
        <v>361</v>
      </c>
      <c r="E21" s="9" t="s">
        <v>362</v>
      </c>
      <c r="F21" s="8" t="s">
        <v>84</v>
      </c>
    </row>
    <row r="22" spans="1:6" ht="22.05" customHeight="1">
      <c r="A22" s="6" t="s">
        <v>359</v>
      </c>
      <c r="B22" s="7" t="s">
        <v>352</v>
      </c>
      <c r="C22" s="7" t="s">
        <v>363</v>
      </c>
      <c r="D22" s="15" t="s">
        <v>364</v>
      </c>
      <c r="E22" s="7" t="s">
        <v>365</v>
      </c>
      <c r="F22" s="6" t="s">
        <v>84</v>
      </c>
    </row>
    <row r="23" spans="1:6" ht="22.05" customHeight="1">
      <c r="A23" s="8" t="s">
        <v>359</v>
      </c>
      <c r="B23" s="9" t="s">
        <v>352</v>
      </c>
      <c r="C23" s="9" t="s">
        <v>366</v>
      </c>
      <c r="D23" s="16" t="s">
        <v>367</v>
      </c>
      <c r="E23" s="9" t="s">
        <v>368</v>
      </c>
      <c r="F23" s="8" t="s">
        <v>84</v>
      </c>
    </row>
    <row r="24" spans="1:6" ht="22.05" customHeight="1">
      <c r="A24" s="6" t="s">
        <v>359</v>
      </c>
      <c r="B24" s="7" t="s">
        <v>352</v>
      </c>
      <c r="C24" s="7" t="s">
        <v>369</v>
      </c>
      <c r="D24" s="15" t="s">
        <v>370</v>
      </c>
      <c r="E24" s="7" t="s">
        <v>371</v>
      </c>
      <c r="F24" s="6" t="s">
        <v>84</v>
      </c>
    </row>
    <row r="25" spans="1:6" ht="22.05" customHeight="1">
      <c r="A25" s="8" t="s">
        <v>359</v>
      </c>
      <c r="B25" s="9" t="s">
        <v>266</v>
      </c>
      <c r="C25" s="9" t="s">
        <v>372</v>
      </c>
      <c r="D25" s="16" t="s">
        <v>373</v>
      </c>
      <c r="E25" s="9" t="s">
        <v>374</v>
      </c>
      <c r="F25" s="8" t="s">
        <v>84</v>
      </c>
    </row>
    <row r="26" spans="1:6" ht="22.05" customHeight="1">
      <c r="A26" s="6" t="s">
        <v>359</v>
      </c>
      <c r="B26" s="7" t="s">
        <v>337</v>
      </c>
      <c r="C26" s="7" t="s">
        <v>375</v>
      </c>
      <c r="D26" s="15" t="s">
        <v>376</v>
      </c>
      <c r="E26" s="7" t="s">
        <v>377</v>
      </c>
      <c r="F26" s="6" t="s">
        <v>84</v>
      </c>
    </row>
    <row r="27" spans="1:6" ht="22.05" customHeight="1">
      <c r="A27" s="8" t="s">
        <v>359</v>
      </c>
      <c r="B27" s="9" t="s">
        <v>337</v>
      </c>
      <c r="C27" s="9" t="s">
        <v>378</v>
      </c>
      <c r="D27" s="16" t="s">
        <v>379</v>
      </c>
      <c r="E27" s="9" t="s">
        <v>380</v>
      </c>
      <c r="F27" s="8" t="s">
        <v>84</v>
      </c>
    </row>
    <row r="28" spans="1:6" ht="22.05" customHeight="1">
      <c r="A28" s="6" t="s">
        <v>359</v>
      </c>
      <c r="B28" s="7" t="s">
        <v>337</v>
      </c>
      <c r="C28" s="7" t="s">
        <v>381</v>
      </c>
      <c r="D28" s="15" t="s">
        <v>382</v>
      </c>
      <c r="E28" s="7" t="s">
        <v>383</v>
      </c>
      <c r="F28" s="6" t="s">
        <v>84</v>
      </c>
    </row>
    <row r="29" spans="1:6" ht="22.05" customHeight="1">
      <c r="A29" s="8" t="s">
        <v>359</v>
      </c>
      <c r="B29" s="9" t="s">
        <v>337</v>
      </c>
      <c r="C29" s="9" t="s">
        <v>384</v>
      </c>
      <c r="D29" s="16" t="s">
        <v>385</v>
      </c>
      <c r="E29" s="9" t="s">
        <v>386</v>
      </c>
      <c r="F29" s="8" t="s">
        <v>84</v>
      </c>
    </row>
    <row r="30" spans="1:6" ht="22.05" customHeight="1">
      <c r="A30" s="6" t="s">
        <v>359</v>
      </c>
      <c r="B30" s="7" t="s">
        <v>337</v>
      </c>
      <c r="C30" s="7" t="s">
        <v>387</v>
      </c>
      <c r="D30" s="15" t="s">
        <v>388</v>
      </c>
      <c r="E30" s="7" t="s">
        <v>389</v>
      </c>
      <c r="F30" s="6" t="s">
        <v>84</v>
      </c>
    </row>
    <row r="31" spans="1:6" ht="22.05" customHeight="1">
      <c r="A31" s="8" t="s">
        <v>359</v>
      </c>
      <c r="B31" s="9" t="s">
        <v>317</v>
      </c>
      <c r="C31" s="9" t="s">
        <v>390</v>
      </c>
      <c r="D31" s="16" t="s">
        <v>319</v>
      </c>
      <c r="E31" s="9" t="s">
        <v>391</v>
      </c>
      <c r="F31" s="8" t="s">
        <v>84</v>
      </c>
    </row>
    <row r="32" spans="1:6" ht="22.05" customHeight="1">
      <c r="A32" s="6" t="s">
        <v>359</v>
      </c>
      <c r="B32" s="7" t="s">
        <v>392</v>
      </c>
      <c r="C32" s="7" t="s">
        <v>393</v>
      </c>
      <c r="D32" s="15" t="s">
        <v>394</v>
      </c>
      <c r="E32" s="7" t="s">
        <v>395</v>
      </c>
      <c r="F32" s="6" t="s">
        <v>84</v>
      </c>
    </row>
    <row r="33" spans="1:6" ht="22.05" customHeight="1">
      <c r="A33" s="8" t="s">
        <v>359</v>
      </c>
      <c r="B33" s="9" t="s">
        <v>392</v>
      </c>
      <c r="C33" s="9" t="s">
        <v>396</v>
      </c>
      <c r="D33" s="16" t="s">
        <v>397</v>
      </c>
      <c r="E33" s="9" t="s">
        <v>398</v>
      </c>
      <c r="F33" s="8" t="s">
        <v>84</v>
      </c>
    </row>
    <row r="34" spans="1:6" ht="22.05" customHeight="1">
      <c r="A34" s="6" t="s">
        <v>359</v>
      </c>
      <c r="B34" s="7" t="s">
        <v>392</v>
      </c>
      <c r="C34" s="7" t="s">
        <v>399</v>
      </c>
      <c r="D34" s="15" t="s">
        <v>400</v>
      </c>
      <c r="E34" s="7" t="s">
        <v>401</v>
      </c>
      <c r="F34" s="6" t="s">
        <v>84</v>
      </c>
    </row>
  </sheetData>
  <autoFilter ref="A1:F34" xr:uid="{00000000-0009-0000-0000-000003000000}"/>
  <phoneticPr fontId="8" type="noConversion"/>
  <dataValidations count="1">
    <dataValidation type="list" allowBlank="1" sqref="F2:F34" xr:uid="{00000000-0002-0000-0300-000000000000}">
      <formula1>"未开始,进行中,已完成"</formula1>
    </dataValidation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10" r:id="rId8" xr:uid="{00000000-0004-0000-0300-000007000000}"/>
    <hyperlink ref="D11" r:id="rId9" xr:uid="{00000000-0004-0000-0300-000008000000}"/>
    <hyperlink ref="D12" r:id="rId10" xr:uid="{00000000-0004-0000-0300-000009000000}"/>
    <hyperlink ref="D13" r:id="rId11" xr:uid="{00000000-0004-0000-0300-00000A000000}"/>
    <hyperlink ref="D14" r:id="rId12" xr:uid="{00000000-0004-0000-0300-00000B000000}"/>
    <hyperlink ref="D15" r:id="rId13" xr:uid="{00000000-0004-0000-0300-00000C000000}"/>
    <hyperlink ref="D16" r:id="rId14" xr:uid="{00000000-0004-0000-0300-00000D000000}"/>
    <hyperlink ref="D18" r:id="rId15" xr:uid="{00000000-0004-0000-0300-00000E000000}"/>
    <hyperlink ref="D19" r:id="rId16" xr:uid="{00000000-0004-0000-0300-00000F000000}"/>
    <hyperlink ref="D20" r:id="rId17" xr:uid="{00000000-0004-0000-0300-000010000000}"/>
    <hyperlink ref="D21" r:id="rId18" xr:uid="{00000000-0004-0000-0300-000011000000}"/>
    <hyperlink ref="D22" r:id="rId19" xr:uid="{00000000-0004-0000-0300-000012000000}"/>
    <hyperlink ref="D23" r:id="rId20" xr:uid="{00000000-0004-0000-0300-000013000000}"/>
    <hyperlink ref="D24" r:id="rId21" xr:uid="{00000000-0004-0000-0300-000014000000}"/>
    <hyperlink ref="D25" r:id="rId22" xr:uid="{00000000-0004-0000-0300-000015000000}"/>
    <hyperlink ref="D26" r:id="rId23" xr:uid="{00000000-0004-0000-0300-000016000000}"/>
    <hyperlink ref="D27" r:id="rId24" xr:uid="{00000000-0004-0000-0300-000017000000}"/>
    <hyperlink ref="D28" r:id="rId25" xr:uid="{00000000-0004-0000-0300-000018000000}"/>
    <hyperlink ref="D29" r:id="rId26" xr:uid="{00000000-0004-0000-0300-000019000000}"/>
    <hyperlink ref="D30" r:id="rId27" xr:uid="{00000000-0004-0000-0300-00001A000000}"/>
    <hyperlink ref="D31" r:id="rId28" xr:uid="{00000000-0004-0000-0300-00001B000000}"/>
    <hyperlink ref="D32" r:id="rId29" xr:uid="{00000000-0004-0000-0300-00001C000000}"/>
    <hyperlink ref="D33" r:id="rId30" xr:uid="{00000000-0004-0000-0300-00001D000000}"/>
    <hyperlink ref="D34" r:id="rId31" xr:uid="{00000000-0004-0000-0300-00001E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/>
  <cols>
    <col min="1" max="1" width="5" customWidth="1"/>
    <col min="2" max="2" width="15" customWidth="1"/>
    <col min="3" max="3" width="30" customWidth="1"/>
    <col min="4" max="4" width="40" customWidth="1"/>
    <col min="5" max="5" width="30" customWidth="1"/>
    <col min="6" max="6" width="32" customWidth="1"/>
    <col min="7" max="7" width="36" customWidth="1"/>
    <col min="8" max="8" width="28" customWidth="1"/>
    <col min="9" max="9" width="12" customWidth="1"/>
  </cols>
  <sheetData>
    <row r="1" spans="1:9" ht="30" customHeight="1">
      <c r="A1" s="5" t="s">
        <v>402</v>
      </c>
      <c r="B1" s="5" t="s">
        <v>403</v>
      </c>
      <c r="C1" s="5" t="s">
        <v>404</v>
      </c>
      <c r="D1" s="5" t="s">
        <v>405</v>
      </c>
      <c r="E1" s="5" t="s">
        <v>406</v>
      </c>
      <c r="F1" s="5" t="s">
        <v>407</v>
      </c>
      <c r="G1" s="5" t="s">
        <v>408</v>
      </c>
      <c r="H1" s="5" t="s">
        <v>409</v>
      </c>
      <c r="I1" s="5" t="s">
        <v>410</v>
      </c>
    </row>
    <row r="2" spans="1:9" ht="43.95" customHeight="1">
      <c r="A2" s="6">
        <v>1</v>
      </c>
      <c r="B2" s="7" t="s">
        <v>411</v>
      </c>
      <c r="C2" s="7" t="s">
        <v>412</v>
      </c>
      <c r="D2" s="7" t="s">
        <v>413</v>
      </c>
      <c r="E2" s="7" t="s">
        <v>414</v>
      </c>
      <c r="F2" s="7" t="s">
        <v>415</v>
      </c>
      <c r="G2" s="7" t="s">
        <v>416</v>
      </c>
      <c r="H2" s="7" t="s">
        <v>417</v>
      </c>
      <c r="I2" s="6" t="s">
        <v>418</v>
      </c>
    </row>
    <row r="3" spans="1:9" ht="43.95" customHeight="1">
      <c r="A3" s="8">
        <v>2</v>
      </c>
      <c r="B3" s="9" t="s">
        <v>419</v>
      </c>
      <c r="C3" s="9" t="s">
        <v>420</v>
      </c>
      <c r="D3" s="9" t="s">
        <v>421</v>
      </c>
      <c r="E3" s="9" t="s">
        <v>422</v>
      </c>
      <c r="F3" s="9" t="s">
        <v>423</v>
      </c>
      <c r="G3" s="9" t="s">
        <v>424</v>
      </c>
      <c r="H3" s="9" t="s">
        <v>425</v>
      </c>
      <c r="I3" s="8" t="s">
        <v>418</v>
      </c>
    </row>
    <row r="4" spans="1:9" ht="43.95" customHeight="1">
      <c r="A4" s="6">
        <v>3</v>
      </c>
      <c r="B4" s="7" t="s">
        <v>426</v>
      </c>
      <c r="C4" s="7" t="s">
        <v>427</v>
      </c>
      <c r="D4" s="7" t="s">
        <v>428</v>
      </c>
      <c r="E4" s="7" t="s">
        <v>429</v>
      </c>
      <c r="F4" s="7" t="s">
        <v>430</v>
      </c>
      <c r="G4" s="7" t="s">
        <v>431</v>
      </c>
      <c r="H4" s="7" t="s">
        <v>432</v>
      </c>
      <c r="I4" s="6" t="s">
        <v>418</v>
      </c>
    </row>
    <row r="5" spans="1:9" ht="43.95" customHeight="1">
      <c r="A5" s="8">
        <v>4</v>
      </c>
      <c r="B5" s="9" t="s">
        <v>433</v>
      </c>
      <c r="C5" s="9" t="s">
        <v>434</v>
      </c>
      <c r="D5" s="9" t="s">
        <v>435</v>
      </c>
      <c r="E5" s="9" t="s">
        <v>436</v>
      </c>
      <c r="F5" s="9" t="s">
        <v>437</v>
      </c>
      <c r="G5" s="9" t="s">
        <v>438</v>
      </c>
      <c r="H5" s="9" t="s">
        <v>439</v>
      </c>
      <c r="I5" s="8" t="s">
        <v>418</v>
      </c>
    </row>
    <row r="6" spans="1:9" ht="43.95" customHeight="1">
      <c r="A6" s="6">
        <v>5</v>
      </c>
      <c r="B6" s="7" t="s">
        <v>440</v>
      </c>
      <c r="C6" s="7" t="s">
        <v>441</v>
      </c>
      <c r="D6" s="7" t="s">
        <v>442</v>
      </c>
      <c r="E6" s="7" t="s">
        <v>443</v>
      </c>
      <c r="F6" s="7" t="s">
        <v>444</v>
      </c>
      <c r="G6" s="7" t="s">
        <v>445</v>
      </c>
      <c r="H6" s="7" t="s">
        <v>446</v>
      </c>
      <c r="I6" s="6" t="s">
        <v>418</v>
      </c>
    </row>
    <row r="7" spans="1:9" ht="43.95" customHeight="1">
      <c r="A7" s="8">
        <v>6</v>
      </c>
      <c r="B7" s="9" t="s">
        <v>447</v>
      </c>
      <c r="C7" s="9" t="s">
        <v>448</v>
      </c>
      <c r="D7" s="9" t="s">
        <v>449</v>
      </c>
      <c r="E7" s="9" t="s">
        <v>450</v>
      </c>
      <c r="F7" s="9" t="s">
        <v>451</v>
      </c>
      <c r="G7" s="9" t="s">
        <v>452</v>
      </c>
      <c r="H7" s="9" t="s">
        <v>453</v>
      </c>
      <c r="I7" s="8" t="s">
        <v>418</v>
      </c>
    </row>
    <row r="8" spans="1:9" ht="43.95" customHeight="1">
      <c r="A8" s="6">
        <v>7</v>
      </c>
      <c r="B8" s="7" t="s">
        <v>454</v>
      </c>
      <c r="C8" s="7" t="s">
        <v>455</v>
      </c>
      <c r="D8" s="7" t="s">
        <v>456</v>
      </c>
      <c r="E8" s="7" t="s">
        <v>457</v>
      </c>
      <c r="F8" s="7" t="s">
        <v>458</v>
      </c>
      <c r="G8" s="7" t="s">
        <v>459</v>
      </c>
      <c r="H8" s="7" t="s">
        <v>460</v>
      </c>
      <c r="I8" s="6" t="s">
        <v>418</v>
      </c>
    </row>
    <row r="9" spans="1:9" ht="43.95" customHeight="1">
      <c r="A9" s="8">
        <v>8</v>
      </c>
      <c r="B9" s="9" t="s">
        <v>461</v>
      </c>
      <c r="C9" s="9" t="s">
        <v>462</v>
      </c>
      <c r="D9" s="9" t="s">
        <v>463</v>
      </c>
      <c r="E9" s="9" t="s">
        <v>464</v>
      </c>
      <c r="F9" s="9" t="s">
        <v>465</v>
      </c>
      <c r="G9" s="9" t="s">
        <v>466</v>
      </c>
      <c r="H9" s="9" t="s">
        <v>467</v>
      </c>
      <c r="I9" s="8" t="s">
        <v>418</v>
      </c>
    </row>
    <row r="10" spans="1:9" ht="43.95" customHeight="1">
      <c r="A10" s="6">
        <v>9</v>
      </c>
      <c r="B10" s="7" t="s">
        <v>468</v>
      </c>
      <c r="C10" s="7" t="s">
        <v>469</v>
      </c>
      <c r="D10" s="7" t="s">
        <v>470</v>
      </c>
      <c r="E10" s="7" t="s">
        <v>471</v>
      </c>
      <c r="F10" s="7" t="s">
        <v>472</v>
      </c>
      <c r="G10" s="7" t="s">
        <v>473</v>
      </c>
      <c r="H10" s="7" t="s">
        <v>474</v>
      </c>
      <c r="I10" s="6" t="s">
        <v>418</v>
      </c>
    </row>
    <row r="11" spans="1:9" ht="43.95" customHeight="1">
      <c r="A11" s="8">
        <v>10</v>
      </c>
      <c r="B11" s="9" t="s">
        <v>475</v>
      </c>
      <c r="C11" s="9" t="s">
        <v>476</v>
      </c>
      <c r="D11" s="9" t="s">
        <v>477</v>
      </c>
      <c r="E11" s="9" t="s">
        <v>478</v>
      </c>
      <c r="F11" s="9" t="s">
        <v>479</v>
      </c>
      <c r="G11" s="9" t="s">
        <v>480</v>
      </c>
      <c r="H11" s="9" t="s">
        <v>481</v>
      </c>
      <c r="I11" s="8" t="s">
        <v>418</v>
      </c>
    </row>
    <row r="12" spans="1:9" ht="43.95" customHeight="1">
      <c r="A12" s="6">
        <v>11</v>
      </c>
      <c r="B12" s="7" t="s">
        <v>482</v>
      </c>
      <c r="C12" s="7" t="s">
        <v>483</v>
      </c>
      <c r="D12" s="7" t="s">
        <v>484</v>
      </c>
      <c r="E12" s="7" t="s">
        <v>485</v>
      </c>
      <c r="F12" s="7" t="s">
        <v>486</v>
      </c>
      <c r="G12" s="7" t="s">
        <v>487</v>
      </c>
      <c r="H12" s="7" t="s">
        <v>488</v>
      </c>
      <c r="I12" s="6" t="s">
        <v>418</v>
      </c>
    </row>
    <row r="13" spans="1:9" ht="43.95" customHeight="1">
      <c r="A13" s="8">
        <v>12</v>
      </c>
      <c r="B13" s="9" t="s">
        <v>489</v>
      </c>
      <c r="C13" s="9" t="s">
        <v>490</v>
      </c>
      <c r="D13" s="9" t="s">
        <v>491</v>
      </c>
      <c r="E13" s="9" t="s">
        <v>492</v>
      </c>
      <c r="F13" s="9" t="s">
        <v>493</v>
      </c>
      <c r="G13" s="9" t="s">
        <v>494</v>
      </c>
      <c r="H13" s="9" t="s">
        <v>495</v>
      </c>
      <c r="I13" s="8" t="s">
        <v>418</v>
      </c>
    </row>
    <row r="14" spans="1:9" ht="43.95" customHeight="1">
      <c r="A14" s="6">
        <v>13</v>
      </c>
      <c r="B14" s="7" t="s">
        <v>496</v>
      </c>
      <c r="C14" s="7" t="s">
        <v>497</v>
      </c>
      <c r="D14" s="7" t="s">
        <v>498</v>
      </c>
      <c r="E14" s="7" t="s">
        <v>499</v>
      </c>
      <c r="F14" s="7" t="s">
        <v>500</v>
      </c>
      <c r="G14" s="7" t="s">
        <v>501</v>
      </c>
      <c r="H14" s="7" t="s">
        <v>502</v>
      </c>
      <c r="I14" s="6" t="s">
        <v>418</v>
      </c>
    </row>
    <row r="15" spans="1:9" ht="43.95" customHeight="1">
      <c r="A15" s="8">
        <v>14</v>
      </c>
      <c r="B15" s="9" t="s">
        <v>503</v>
      </c>
      <c r="C15" s="9" t="s">
        <v>504</v>
      </c>
      <c r="D15" s="9" t="s">
        <v>505</v>
      </c>
      <c r="E15" s="9" t="s">
        <v>506</v>
      </c>
      <c r="F15" s="9" t="s">
        <v>507</v>
      </c>
      <c r="G15" s="9" t="s">
        <v>508</v>
      </c>
      <c r="H15" s="9" t="s">
        <v>509</v>
      </c>
      <c r="I15" s="8" t="s">
        <v>418</v>
      </c>
    </row>
    <row r="16" spans="1:9" ht="43.95" customHeight="1">
      <c r="A16" s="6">
        <v>15</v>
      </c>
      <c r="B16" s="7" t="s">
        <v>510</v>
      </c>
      <c r="C16" s="7" t="s">
        <v>511</v>
      </c>
      <c r="D16" s="7" t="s">
        <v>512</v>
      </c>
      <c r="E16" s="7" t="s">
        <v>513</v>
      </c>
      <c r="F16" s="7" t="s">
        <v>514</v>
      </c>
      <c r="G16" s="7" t="s">
        <v>515</v>
      </c>
      <c r="H16" s="7" t="s">
        <v>516</v>
      </c>
      <c r="I16" s="6" t="s">
        <v>418</v>
      </c>
    </row>
    <row r="17" spans="1:9" ht="43.95" customHeight="1">
      <c r="A17" s="8">
        <v>16</v>
      </c>
      <c r="B17" s="9" t="s">
        <v>517</v>
      </c>
      <c r="C17" s="9" t="s">
        <v>518</v>
      </c>
      <c r="D17" s="9" t="s">
        <v>519</v>
      </c>
      <c r="E17" s="9" t="s">
        <v>520</v>
      </c>
      <c r="F17" s="9" t="s">
        <v>521</v>
      </c>
      <c r="G17" s="9" t="s">
        <v>522</v>
      </c>
      <c r="H17" s="9" t="s">
        <v>523</v>
      </c>
      <c r="I17" s="8" t="s">
        <v>418</v>
      </c>
    </row>
    <row r="18" spans="1:9" ht="43.95" customHeight="1">
      <c r="A18" s="6">
        <v>17</v>
      </c>
      <c r="B18" s="7" t="s">
        <v>524</v>
      </c>
      <c r="C18" s="7" t="s">
        <v>525</v>
      </c>
      <c r="D18" s="7" t="s">
        <v>526</v>
      </c>
      <c r="E18" s="7" t="s">
        <v>527</v>
      </c>
      <c r="F18" s="7" t="s">
        <v>528</v>
      </c>
      <c r="G18" s="7" t="s">
        <v>529</v>
      </c>
      <c r="H18" s="7" t="s">
        <v>530</v>
      </c>
      <c r="I18" s="6" t="s">
        <v>418</v>
      </c>
    </row>
    <row r="19" spans="1:9" ht="43.95" customHeight="1">
      <c r="A19" s="8">
        <v>18</v>
      </c>
      <c r="B19" s="9" t="s">
        <v>531</v>
      </c>
      <c r="C19" s="9" t="s">
        <v>532</v>
      </c>
      <c r="D19" s="9" t="s">
        <v>533</v>
      </c>
      <c r="E19" s="9" t="s">
        <v>534</v>
      </c>
      <c r="F19" s="9" t="s">
        <v>535</v>
      </c>
      <c r="G19" s="9" t="s">
        <v>536</v>
      </c>
      <c r="H19" s="9" t="s">
        <v>537</v>
      </c>
      <c r="I19" s="8" t="s">
        <v>418</v>
      </c>
    </row>
    <row r="20" spans="1:9" ht="43.95" customHeight="1">
      <c r="A20" s="6">
        <v>19</v>
      </c>
      <c r="B20" s="7" t="s">
        <v>538</v>
      </c>
      <c r="C20" s="7" t="s">
        <v>539</v>
      </c>
      <c r="D20" s="7" t="s">
        <v>540</v>
      </c>
      <c r="E20" s="7" t="s">
        <v>541</v>
      </c>
      <c r="F20" s="7" t="s">
        <v>542</v>
      </c>
      <c r="G20" s="7" t="s">
        <v>543</v>
      </c>
      <c r="H20" s="7" t="s">
        <v>544</v>
      </c>
      <c r="I20" s="6" t="s">
        <v>418</v>
      </c>
    </row>
  </sheetData>
  <autoFilter ref="A1:I20" xr:uid="{00000000-0009-0000-0000-000004000000}"/>
  <phoneticPr fontId="8" type="noConversion"/>
  <dataValidations count="1">
    <dataValidation type="list" allowBlank="1" sqref="I2:I20" xr:uid="{00000000-0002-0000-0400-000000000000}">
      <formula1>"未学,了解,能复现,能讲清,能写报告"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6"/>
  <sheetViews>
    <sheetView showGridLines="0" workbookViewId="0"/>
  </sheetViews>
  <sheetFormatPr defaultRowHeight="14.4"/>
  <cols>
    <col min="1" max="1" width="4" customWidth="1"/>
    <col min="2" max="2" width="26" customWidth="1"/>
    <col min="3" max="3" width="16" customWidth="1"/>
    <col min="4" max="4" width="4" customWidth="1"/>
    <col min="5" max="5" width="22" customWidth="1"/>
    <col min="6" max="8" width="12" customWidth="1"/>
  </cols>
  <sheetData>
    <row r="2" spans="2:8" ht="23.4">
      <c r="B2" s="1" t="s">
        <v>545</v>
      </c>
    </row>
    <row r="3" spans="2:8" ht="16.2">
      <c r="E3" s="3" t="s">
        <v>546</v>
      </c>
    </row>
    <row r="4" spans="2:8" ht="25.95" customHeight="1">
      <c r="B4" s="5" t="s">
        <v>547</v>
      </c>
      <c r="C4" s="5" t="s">
        <v>548</v>
      </c>
      <c r="E4" s="5" t="s">
        <v>17</v>
      </c>
      <c r="F4" s="5" t="s">
        <v>549</v>
      </c>
      <c r="G4" s="5" t="s">
        <v>550</v>
      </c>
      <c r="H4" s="5" t="s">
        <v>551</v>
      </c>
    </row>
    <row r="5" spans="2:8" ht="15.6">
      <c r="B5" s="17" t="s">
        <v>549</v>
      </c>
      <c r="C5" s="18">
        <f>COUNTA(周计划!A2:A43)</f>
        <v>42</v>
      </c>
      <c r="E5" s="9" t="s">
        <v>79</v>
      </c>
      <c r="F5" s="8">
        <f>COUNTIF(周计划!$B$2:$B$43,"0 环境")</f>
        <v>2</v>
      </c>
      <c r="G5" s="8">
        <f>COUNTIFS(周计划!$B$2:$B$43,"0 环境",周计划!$J$2:$J$43,"已完成")</f>
        <v>1</v>
      </c>
      <c r="H5" s="19">
        <f t="shared" ref="H5:H14" si="0">IF(F5=0,0,G5/F5)</f>
        <v>0.5</v>
      </c>
    </row>
    <row r="6" spans="2:8" ht="15.6">
      <c r="B6" s="17" t="s">
        <v>550</v>
      </c>
      <c r="C6" s="18">
        <f>COUNTIF(周计划!J2:J43,"已完成")</f>
        <v>1</v>
      </c>
      <c r="E6" s="9" t="s">
        <v>91</v>
      </c>
      <c r="F6" s="8">
        <f>COUNTIF(周计划!$B$2:$B$43,"1 基础")</f>
        <v>6</v>
      </c>
      <c r="G6" s="8">
        <f>COUNTIFS(周计划!$B$2:$B$43,"1 基础",周计划!$J$2:$J$43,"已完成")</f>
        <v>0</v>
      </c>
      <c r="H6" s="19">
        <f t="shared" si="0"/>
        <v>0</v>
      </c>
    </row>
    <row r="7" spans="2:8" ht="15.6">
      <c r="B7" s="17" t="s">
        <v>552</v>
      </c>
      <c r="C7" s="18">
        <f>COUNTIF(周计划!J2:J43,"进行中")</f>
        <v>0</v>
      </c>
      <c r="E7" s="9" t="s">
        <v>122</v>
      </c>
      <c r="F7" s="8">
        <f>COUNTIF(周计划!$B$2:$B$43,"2a 前端")</f>
        <v>4</v>
      </c>
      <c r="G7" s="8">
        <f>COUNTIFS(周计划!$B$2:$B$43,"2a 前端",周计划!$J$2:$J$43,"已完成")</f>
        <v>0</v>
      </c>
      <c r="H7" s="19">
        <f t="shared" si="0"/>
        <v>0</v>
      </c>
    </row>
    <row r="8" spans="2:8" ht="15.6">
      <c r="B8" s="17" t="s">
        <v>553</v>
      </c>
      <c r="C8" s="18">
        <f>COUNTIF(周计划!J2:J43,"延期")</f>
        <v>0</v>
      </c>
      <c r="E8" s="9" t="s">
        <v>153</v>
      </c>
      <c r="F8" s="8">
        <f>COUNTIF(周计划!$B$2:$B$43,"2b 寒假")</f>
        <v>3</v>
      </c>
      <c r="G8" s="8">
        <f>COUNTIFS(周计划!$B$2:$B$43,"2b 寒假",周计划!$J$2:$J$43,"已完成")</f>
        <v>0</v>
      </c>
      <c r="H8" s="19">
        <f t="shared" si="0"/>
        <v>0</v>
      </c>
    </row>
    <row r="9" spans="2:8" ht="15.6">
      <c r="B9" s="17" t="s">
        <v>84</v>
      </c>
      <c r="C9" s="18">
        <f>COUNTIF(周计划!J2:J43,"未开始")</f>
        <v>41</v>
      </c>
      <c r="E9" s="9" t="s">
        <v>173</v>
      </c>
      <c r="F9" s="8">
        <f>COUNTIF(周计划!$B$2:$B$43,"3 漏洞")</f>
        <v>8</v>
      </c>
      <c r="G9" s="8">
        <f>COUNTIFS(周计划!$B$2:$B$43,"3 漏洞",周计划!$J$2:$J$43,"已完成")</f>
        <v>0</v>
      </c>
      <c r="H9" s="19">
        <f t="shared" si="0"/>
        <v>0</v>
      </c>
    </row>
    <row r="10" spans="2:8" ht="15.6">
      <c r="B10" s="17" t="s">
        <v>551</v>
      </c>
      <c r="C10" s="20">
        <f>IF(C5=0,0,C6/C5)</f>
        <v>2.3809523809523808E-2</v>
      </c>
      <c r="E10" s="9" t="s">
        <v>214</v>
      </c>
      <c r="F10" s="8">
        <f>COUNTIF(周计划!$B$2:$B$43,"4 工程化")</f>
        <v>6</v>
      </c>
      <c r="G10" s="8">
        <f>COUNTIFS(周计划!$B$2:$B$43,"4 工程化",周计划!$J$2:$J$43,"已完成")</f>
        <v>0</v>
      </c>
      <c r="H10" s="19">
        <f t="shared" si="0"/>
        <v>0</v>
      </c>
    </row>
    <row r="11" spans="2:8" ht="15.6">
      <c r="B11" s="17" t="s">
        <v>554</v>
      </c>
      <c r="C11" s="18">
        <f>SUM(周计划!I2:I43)</f>
        <v>388</v>
      </c>
      <c r="E11" s="9" t="s">
        <v>250</v>
      </c>
      <c r="F11" s="8">
        <f>COUNTIF(周计划!$B$2:$B$43,"5 实战")</f>
        <v>8</v>
      </c>
      <c r="G11" s="8">
        <f>COUNTIFS(周计划!$B$2:$B$43,"5 实战",周计划!$J$2:$J$43,"已完成")</f>
        <v>0</v>
      </c>
      <c r="H11" s="19">
        <f t="shared" si="0"/>
        <v>0</v>
      </c>
    </row>
    <row r="12" spans="2:8" ht="15.6">
      <c r="B12" s="17" t="s">
        <v>555</v>
      </c>
      <c r="C12" s="18">
        <f>SUMIF(周计划!J2:J43,"已完成",周计划!I2:I43)</f>
        <v>8</v>
      </c>
      <c r="E12" s="9" t="s">
        <v>37</v>
      </c>
      <c r="F12" s="8">
        <f>COUNTIF(周计划!$B$2:$B$43,"期末")</f>
        <v>4</v>
      </c>
      <c r="G12" s="8">
        <f>COUNTIFS(周计划!$B$2:$B$43,"期末",周计划!$J$2:$J$43,"已完成")</f>
        <v>0</v>
      </c>
      <c r="H12" s="19">
        <f t="shared" si="0"/>
        <v>0</v>
      </c>
    </row>
    <row r="13" spans="2:8" ht="15.6">
      <c r="B13" s="17" t="s">
        <v>556</v>
      </c>
      <c r="C13" s="18">
        <f>SUM(周计划!K2:K43)</f>
        <v>0</v>
      </c>
      <c r="E13" s="9" t="s">
        <v>47</v>
      </c>
      <c r="F13" s="8">
        <f>COUNTIF(周计划!$B$2:$B$43,"缓冲")</f>
        <v>1</v>
      </c>
      <c r="G13" s="8">
        <f>COUNTIFS(周计划!$B$2:$B$43,"缓冲",周计划!$J$2:$J$43,"已完成")</f>
        <v>0</v>
      </c>
      <c r="H13" s="19">
        <f t="shared" si="0"/>
        <v>0</v>
      </c>
    </row>
    <row r="14" spans="2:8" ht="16.2">
      <c r="B14" s="17" t="s">
        <v>557</v>
      </c>
      <c r="C14" s="18">
        <f>IF(C12=0,0,C13-C12)</f>
        <v>-8</v>
      </c>
      <c r="E14" s="21" t="s">
        <v>558</v>
      </c>
      <c r="F14" s="22">
        <f>SUM(F5:F13)</f>
        <v>42</v>
      </c>
      <c r="G14" s="22">
        <f>SUM(G5:G13)</f>
        <v>1</v>
      </c>
      <c r="H14" s="23">
        <f t="shared" si="0"/>
        <v>2.3809523809523808E-2</v>
      </c>
    </row>
    <row r="16" spans="2:8" ht="15">
      <c r="B16" s="2" t="s">
        <v>559</v>
      </c>
    </row>
  </sheetData>
  <phoneticPr fontId="8" type="noConversion"/>
  <conditionalFormatting sqref="E5:E13">
    <cfRule type="cellIs" dxfId="0" priority="1" operator="equal">
      <formula>"期末"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使用说明</vt:lpstr>
      <vt:lpstr>总览</vt:lpstr>
      <vt:lpstr>周计划</vt:lpstr>
      <vt:lpstr>资源库</vt:lpstr>
      <vt:lpstr>漏洞卡片</vt:lpstr>
      <vt:lpstr>进度统计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LeuR LR</cp:lastModifiedBy>
  <dcterms:created xsi:type="dcterms:W3CDTF">2026-10-19T15:01:12Z</dcterms:created>
  <dcterms:modified xsi:type="dcterms:W3CDTF">2026-10-21T15:46:03Z</dcterms:modified>
</cp:coreProperties>
</file>